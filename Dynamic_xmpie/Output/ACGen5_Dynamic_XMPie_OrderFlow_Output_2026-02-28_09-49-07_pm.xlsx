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D48" i="19" l="1"/>
  <c r="Y48" i="19"/>
  <c r="Y47" i="19"/>
  <c r="AG47" i="19" l="1"/>
  <c r="BC43" i="19"/>
  <c r="BC47" i="19" l="1"/>
  <c r="BC48" i="19"/>
  <c r="AD37" i="19"/>
  <c r="V48" i="19"/>
  <c r="AU49" i="19" l="1"/>
  <c r="AT49"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8" i="19" l="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48" i="19" l="1"/>
  <c r="AT48" i="19" s="1"/>
  <c r="AU48" i="19" s="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<sst xmlns="http://schemas.openxmlformats.org/spreadsheetml/2006/main" count="3952" uniqueCount="1206">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</sst>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false"/>
    <col min="2" max="2" customWidth="true" width="15.28515625" collapsed="false"/>
    <col min="3" max="3" customWidth="true" width="43.42578125" collapsed="false"/>
    <col min="4" max="4" bestFit="true" customWidth="true" width="14.28515625" collapsed="false"/>
    <col min="13" max="13" customWidth="true" width="74.7109375" collapsed="fals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false"/>
    <col min="2" max="2" customWidth="true" width="63.42578125" collapsed="false"/>
    <col min="3" max="3" customWidth="true" style="10" width="62.85546875" collapsed="false"/>
    <col min="4" max="4" customWidth="true" style="10" width="15.0" collapsed="false"/>
    <col min="5" max="5" customWidth="true" style="70" width="12.7109375" collapsed="false"/>
    <col min="6" max="6" style="70" width="9.140625" collapsed="fals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false"/>
    <col min="2" max="2" customWidth="true" width="24.140625" collapsed="false"/>
    <col min="3" max="3" customWidth="true" width="57.0" collapsed="false"/>
    <col min="4" max="4" customWidth="true" width="44.85546875" collapsed="false"/>
    <col min="5" max="5" customWidth="true" width="50.0" collapsed="false"/>
    <col min="6" max="7" customWidth="true" width="14.0" collapsed="false"/>
    <col min="9" max="9" customWidth="true" width="42.28515625" collapsed="fals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false"/>
    <col min="2" max="2" customWidth="true" style="70" width="8.42578125" collapsed="false"/>
    <col min="3" max="3" customWidth="true" style="70" width="51.42578125" collapsed="false"/>
    <col min="4" max="4" customWidth="true" style="70" width="35.42578125" collapsed="false"/>
    <col min="5" max="5" customWidth="true" style="70" width="56.5703125" collapsed="false"/>
    <col min="6" max="6" customWidth="true" style="70" width="11.140625" collapsed="false"/>
    <col min="7" max="7" customWidth="true" style="70" width="9.42578125" collapsed="false"/>
    <col min="8" max="8" customWidth="true" style="70" width="11.7109375" collapsed="false"/>
    <col min="9" max="9" customWidth="true" style="70" width="12.7109375" collapsed="false"/>
    <col min="10" max="10" bestFit="true" customWidth="true" style="70" width="8.85546875" collapsed="false"/>
    <col min="11" max="11" customWidth="true" style="70" width="14.7109375" collapsed="false"/>
    <col min="12" max="12" style="70" width="9.140625" collapsed="false"/>
    <col min="13" max="13" customWidth="true" style="70" width="12.85546875" collapsed="false"/>
    <col min="14" max="14" customWidth="true" style="70" width="12.7109375" collapsed="false"/>
    <col min="15" max="15" customWidth="true" style="70" width="13.7109375" collapsed="false"/>
    <col min="16" max="16384" style="70" width="9.140625" collapsed="fals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AC41" activePane="bottomRight" state="frozen"/>
      <selection pane="topRight"/>
      <selection pane="bottomLeft"/>
      <selection pane="bottomRight" activeCell="AO48" sqref="AO48"/>
    </sheetView>
  </sheetViews>
  <sheetFormatPr defaultRowHeight="15"/>
  <cols>
    <col min="1" max="1" customWidth="true" width="6.0" collapsed="false"/>
    <col min="2" max="2" bestFit="true" customWidth="true" width="16.7109375" collapsed="false"/>
    <col min="3" max="3" bestFit="true" customWidth="true" width="15.0" collapsed="false"/>
    <col min="4" max="4" customWidth="true" width="18.0" collapsed="false"/>
    <col min="5" max="5" bestFit="true" customWidth="true" width="10.7109375" collapsed="false"/>
    <col min="6" max="6" bestFit="true" customWidth="true" width="13.28515625" collapsed="false"/>
    <col min="7" max="7" bestFit="true" customWidth="true" width="27.0" collapsed="false"/>
    <col min="8" max="8" customWidth="true" width="12.42578125" collapsed="false"/>
    <col min="9" max="9" bestFit="true" customWidth="true" width="20.7109375" collapsed="false"/>
    <col min="10" max="10" bestFit="true" customWidth="true" width="23.42578125" collapsed="fals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1205</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1205</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1205</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1205</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1205</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1205</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1205</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1205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1205</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1205</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1205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1205</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1205</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1205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1205</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1205</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1205</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1205</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1205</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1205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1205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1205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1205</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1205</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1205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1205</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1205</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1205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1205</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1205</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1205</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c r="BN43" t="s">
        <v>1205</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1205</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1205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1205</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2">
        <v>0</v>
      </c>
      <c r="V48" s="18">
        <f>S48-U48</f>
        <v>25</v>
      </c>
      <c r="W48" s="12">
        <v>4.8120000000000003</v>
      </c>
      <c r="X48" s="12">
        <v>0</v>
      </c>
      <c r="Y48" s="12">
        <f>ROUND(S48+(O48*W48),2)</f>
        <v>49.06</v>
      </c>
      <c r="Z48" s="12" t="s">
        <v>10</v>
      </c>
      <c r="AA48" s="12">
        <v>1.2350000000000001</v>
      </c>
      <c r="AB48" s="33">
        <v>6.25</v>
      </c>
      <c r="AC48" s="18">
        <v>1.23</v>
      </c>
      <c r="AD48" s="12">
        <f>ROUND(Y48-AA48,3)</f>
        <v>47.825000000000003</v>
      </c>
      <c r="AE48" s="18">
        <f>ROUND((Y48+AP48+BB48)*AC48/100,3)</f>
        <v>1.169</v>
      </c>
      <c r="AF48" s="12">
        <v>8.5120000000000005</v>
      </c>
      <c r="AG48" s="16">
        <f>ROUND(Y48+AP48+AE48+BC48,2)</f>
        <v>144.07</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95.378</v>
      </c>
      <c r="AU48" s="35">
        <f>AT48</f>
        <v>95.378</v>
      </c>
      <c r="AV48" s="35">
        <f>ROUND(AT48-AU48,AL48)</f>
        <v>0</v>
      </c>
      <c r="AW48" s="12">
        <v>0</v>
      </c>
      <c r="AX48" s="35">
        <f>ROUND(AV48-AW48,AL48)</f>
        <v>0</v>
      </c>
      <c r="AY48" s="12">
        <v>0</v>
      </c>
      <c r="AZ48" s="35">
        <f>ROUND(AX48-AY48,AL48)</f>
        <v>0</v>
      </c>
      <c r="BA48" s="12">
        <v>0</v>
      </c>
      <c r="BB48" s="12">
        <v>3.456</v>
      </c>
      <c r="BC48" s="16">
        <f>ROUND((AD48+BB48),2)</f>
        <v>51.28</v>
      </c>
      <c r="BD48" s="12" t="s">
        <v>10</v>
      </c>
      <c r="BE48" s="12" t="s">
        <v>10</v>
      </c>
      <c r="BF48" s="12">
        <v>0</v>
      </c>
      <c r="BG48" s="12">
        <v>0</v>
      </c>
      <c r="BH48" s="12">
        <v>0</v>
      </c>
      <c r="BI48" s="12" t="s">
        <v>15</v>
      </c>
      <c r="BJ48" s="12" t="s">
        <v>15</v>
      </c>
      <c r="BK48" s="12" t="s">
        <v>15</v>
      </c>
      <c r="BL48" s="12"/>
      <c r="BM48" s="12" t="s">
        <v>15</v>
      </c>
      <c r="BN48" t="s">
        <v>1205</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2">
        <v>0</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1205</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1205</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1205</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1205</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1205</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1205</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1205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false"/>
    <col min="2" max="2" bestFit="true" customWidth="true" width="26.85546875" collapsed="false"/>
    <col min="3" max="3" customWidth="true" width="14.0" collapsed="fals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2026-02-28T16:18:49Z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