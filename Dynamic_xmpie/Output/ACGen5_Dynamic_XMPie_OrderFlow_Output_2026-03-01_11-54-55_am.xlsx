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G48" i="19" l="1"/>
  <c r="BC48" i="19"/>
  <c r="BC3" i="19"/>
  <c r="AG47" i="19"/>
  <c r="BC47" i="19"/>
  <c r="AP48" i="19"/>
  <c r="AD48" i="19" l="1"/>
  <c r="Y48" i="19"/>
  <c r="Y47" i="19"/>
  <c r="BC43" i="19" l="1"/>
  <c r="AD37" i="19" l="1"/>
  <c r="V48" i="19"/>
  <c r="AU49" i="19" l="1"/>
  <c r="AT49"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S48" i="19"/>
  <c r="AQ47" i="19"/>
  <c r="AP47" i="19"/>
  <c r="AE47" i="19" s="1"/>
  <c r="S47" i="19"/>
  <c r="AQ44" i="19"/>
  <c r="AP44" i="19"/>
  <c r="AE44" i="19" s="1"/>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AQ3" i="19"/>
  <c r="AP3" i="19"/>
  <c r="AB3" i="19"/>
  <c r="S3" i="19"/>
  <c r="Y3" i="19" s="1"/>
  <c r="AE48" i="19" l="1"/>
  <c r="AE43" i="19"/>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6" i="19"/>
  <c r="AG44" i="19"/>
  <c r="AE49" i="19"/>
  <c r="AG49" i="19" s="1"/>
  <c r="AE5" i="19"/>
  <c r="AG5" i="19" s="1"/>
  <c r="AE24" i="19"/>
  <c r="AG24" i="19" s="1"/>
  <c r="AD25" i="19"/>
  <c r="BC25" i="19" s="1"/>
  <c r="AE25" i="19"/>
  <c r="AE37" i="19"/>
  <c r="AG37" i="19" s="1"/>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T48" i="19" l="1"/>
  <c r="AU48" i="19" s="1"/>
  <c r="AV48" i="19" s="1"/>
  <c r="AX48" i="19" s="1"/>
  <c r="AZ48" i="19" s="1"/>
  <c r="AT47" i="19"/>
  <c r="AU47" i="19" s="1"/>
  <c r="AG30" i="19"/>
  <c r="AG28" i="19"/>
  <c r="AG57" i="19"/>
  <c r="AG25" i="19"/>
  <c r="AV47" i="19" l="1"/>
  <c r="AW47" i="19" l="1"/>
  <c r="AX47" i="19" s="1"/>
  <c r="AZ47" i="19" s="1"/>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<sst xmlns="http://schemas.openxmlformats.org/spreadsheetml/2006/main" count="3995" uniqueCount="1207">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</sst>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AB2" activePane="bottomRight" state="frozen"/>
      <selection pane="topRight"/>
      <selection pane="bottomLeft"/>
      <selection pane="bottomRight" activeCell="BC8" sqref="BC8"/>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bestFit="true" customWidth="true" width="27.0" collapsed="true"/>
    <col min="8" max="8" customWidth="true" width="12.42578125" collapsed="true"/>
    <col min="9" max="9" bestFit="true" customWidth="true" width="20.7109375" collapsed="true"/>
    <col min="10" max="10" bestFit="true" customWidth="true" width="23.42578125" collapsed="tru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1054</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1054</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1206</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1054</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1054</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1054</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1054</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1054</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1054</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1054</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1054</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1054</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1054</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1054</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1054</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1054</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1054</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1054</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1054</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1054</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1054</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1054</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1054</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1054</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1054</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1054</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1054</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1054</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1054</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1054</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1054</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ROUND((AD43+BB43),3)</f>
        <v>6.7889999999999997</v>
      </c>
      <c r="BD43" s="12" t="s">
        <v>10</v>
      </c>
      <c r="BE43" s="12" t="s">
        <v>10</v>
      </c>
      <c r="BF43" s="12">
        <v>0</v>
      </c>
      <c r="BG43" s="12">
        <v>0</v>
      </c>
      <c r="BH43" s="12">
        <v>0</v>
      </c>
      <c r="BI43" s="12" t="s">
        <v>15</v>
      </c>
      <c r="BJ43" s="12" t="s">
        <v>15</v>
      </c>
      <c r="BK43" s="12" t="s">
        <v>15</v>
      </c>
      <c r="BL43" s="12"/>
      <c r="BM43" s="12" t="s">
        <v>15</v>
      </c>
      <c r="BN43" t="s">
        <v>1054</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8">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1054</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1054</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f>ROUND(S47+(O47*W47),2)</f>
        <v>1.43</v>
      </c>
      <c r="Z47" s="12" t="s">
        <v>10</v>
      </c>
      <c r="AA47" s="12">
        <v>0</v>
      </c>
      <c r="AB47" s="12">
        <v>0</v>
      </c>
      <c r="AC47" s="12">
        <v>7.85</v>
      </c>
      <c r="AD47" s="12">
        <v>0</v>
      </c>
      <c r="AE47" s="16">
        <f>ROUND((Y47+AP47+BB47)*AC47/100,2)</f>
        <v>4.58</v>
      </c>
      <c r="AF47" s="12">
        <v>54.62</v>
      </c>
      <c r="AG47" s="16">
        <f>ROUND(Y47+AP47+AE47+BC47,2)</f>
        <v>62.88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12.88</v>
      </c>
      <c r="AU47" s="35">
        <f>AT47</f>
        <v>12.88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1054</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5</v>
      </c>
      <c r="P48" s="12">
        <v>5</v>
      </c>
      <c r="Q48" s="12">
        <v>0</v>
      </c>
      <c r="R48" s="12">
        <v>0</v>
      </c>
      <c r="S48" s="33">
        <f>ROUND(O48*P48,3)</f>
        <v>25</v>
      </c>
      <c r="T48" s="12" t="s">
        <v>10</v>
      </c>
      <c r="U48" s="12">
        <v>0</v>
      </c>
      <c r="V48" s="18">
        <f>S48-U48</f>
        <v>25</v>
      </c>
      <c r="W48" s="12">
        <v>4.8120000000000003</v>
      </c>
      <c r="X48" s="12">
        <v>0</v>
      </c>
      <c r="Y48" s="12">
        <f>ROUND(S48+(O48*W48),2)</f>
        <v>49.06</v>
      </c>
      <c r="Z48" s="12" t="s">
        <v>10</v>
      </c>
      <c r="AA48" s="12">
        <v>1.2350000000000001</v>
      </c>
      <c r="AB48" s="33">
        <v>6.25</v>
      </c>
      <c r="AC48" s="18">
        <v>1.23</v>
      </c>
      <c r="AD48" s="12">
        <f>ROUND(Y48-AA48,3)</f>
        <v>47.825000000000003</v>
      </c>
      <c r="AE48" s="18">
        <f>ROUND((Y48+AP48+BB48)*AC48/100,3)</f>
        <v>1.169</v>
      </c>
      <c r="AF48" s="12">
        <v>8.5120000000000005</v>
      </c>
      <c r="AG48" s="16">
        <f>ROUND(Y48+AP48+AE48+BC48,2)</f>
        <v>144.07</v>
      </c>
      <c r="AH48" s="12">
        <v>3</v>
      </c>
      <c r="AI48" s="12">
        <v>2</v>
      </c>
      <c r="AJ48" s="17" t="s">
        <v>12</v>
      </c>
      <c r="AK48" s="18">
        <v>0</v>
      </c>
      <c r="AL48" s="12">
        <v>3</v>
      </c>
      <c r="AM48" s="12" t="s">
        <v>104</v>
      </c>
      <c r="AN48" s="12" t="s">
        <v>104</v>
      </c>
      <c r="AO48" s="12">
        <v>0</v>
      </c>
      <c r="AP48" s="12">
        <f>ROUND(AF48*O48,3)</f>
        <v>42.56</v>
      </c>
      <c r="AQ48" s="33">
        <f>ROUND(O48*W48,3)</f>
        <v>24.06</v>
      </c>
      <c r="AR48" s="12">
        <v>0</v>
      </c>
      <c r="AS48" s="12">
        <v>48.692</v>
      </c>
      <c r="AT48" s="35">
        <f>ROUND(AG48-AS48,AL48)</f>
        <v>95.378</v>
      </c>
      <c r="AU48" s="35">
        <f>AT48</f>
        <v>95.378</v>
      </c>
      <c r="AV48" s="35">
        <f>ROUND(AT48-AU48,AL48)</f>
        <v>0</v>
      </c>
      <c r="AW48" s="12">
        <v>0</v>
      </c>
      <c r="AX48" s="35">
        <f>ROUND(AV48-AW48,AL48)</f>
        <v>0</v>
      </c>
      <c r="AY48" s="12">
        <v>0</v>
      </c>
      <c r="AZ48" s="35">
        <f>ROUND(AX48-AY48,AL48)</f>
        <v>0</v>
      </c>
      <c r="BA48" s="12">
        <v>0</v>
      </c>
      <c r="BB48" s="12">
        <v>3.456</v>
      </c>
      <c r="BC48" s="16">
        <f>ROUND((AD48+BB48),2)</f>
        <v>51.28</v>
      </c>
      <c r="BD48" s="12" t="s">
        <v>10</v>
      </c>
      <c r="BE48" s="12" t="s">
        <v>10</v>
      </c>
      <c r="BF48" s="12">
        <v>0</v>
      </c>
      <c r="BG48" s="12">
        <v>0</v>
      </c>
      <c r="BH48" s="12">
        <v>0</v>
      </c>
      <c r="BI48" s="12" t="s">
        <v>15</v>
      </c>
      <c r="BJ48" s="12" t="s">
        <v>15</v>
      </c>
      <c r="BK48" s="12" t="s">
        <v>15</v>
      </c>
      <c r="BL48" s="12"/>
      <c r="BM48" s="12" t="s">
        <v>15</v>
      </c>
      <c r="BN48" t="s">
        <v>1054</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2">
        <v>0</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f>ROUND(AG49-AS49,AL49)</f>
        <v>62.234000000000002</v>
      </c>
      <c r="AU49" s="35">
        <f>AT49</f>
        <v>62.234000000000002</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1054</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19">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1054</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19"/>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1054</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0">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1">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1054</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2">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1054</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2"/>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1054</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1054</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2026-02-28T17:14:45Z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