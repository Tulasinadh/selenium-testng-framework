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BC47" i="19" l="1"/>
  <c r="AG48" i="19"/>
  <c r="AD48" i="19"/>
  <c r="AD37" i="19"/>
  <c r="V48" i="19"/>
  <c r="AU49" i="19" l="1"/>
  <c r="AT49" i="19"/>
  <c r="AG47" i="19" l="1"/>
  <c r="Y47"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S48"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8" i="19" l="1"/>
  <c r="AT48" i="19" s="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V48" i="19" l="1"/>
  <c r="AX48" i="19" s="1"/>
  <c r="AZ48" i="19" s="1"/>
  <c r="AU48" i="19"/>
  <c r="AT47" i="19"/>
  <c r="AU47" i="19" s="1"/>
  <c r="AG30" i="19"/>
  <c r="AG28" i="19"/>
  <c r="AG57" i="19"/>
  <c r="AG25" i="19"/>
  <c r="AV47" i="19" l="1"/>
  <c r="AW47" i="19" l="1"/>
  <c r="AX47" i="19" s="1"/>
  <c r="AZ47" i="19" s="1"/>
</calcChain>
</file>

<file path=xl/sharedStrings.xml><?xml version="1.0" encoding="utf-8"?>
<sst xmlns="http://schemas.openxmlformats.org/spreadsheetml/2006/main" count="3952" uniqueCount="1206">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</sst>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11.140625" collapsed="false"/>
    <col min="7" max="7" customWidth="true" style="70" width="9.42578125" collapsed="false"/>
    <col min="8" max="8" customWidth="true" style="70" width="11.7109375" collapsed="false"/>
    <col min="9" max="9" customWidth="true" style="70" width="12.7109375" collapsed="false"/>
    <col min="10" max="10" bestFit="true" customWidth="true" style="70" width="8.85546875" collapsed="false"/>
    <col min="11" max="11" customWidth="true" style="70" width="14.7109375" collapsed="false"/>
    <col min="12" max="12" style="70" width="9.140625" collapsed="false"/>
    <col min="13" max="13" customWidth="true" style="70" width="12.85546875" collapsed="false"/>
    <col min="14" max="14" customWidth="true" style="70" width="12.7109375" collapsed="false"/>
    <col min="15" max="15" customWidth="true" style="70" width="13.7109375" collapsed="false"/>
    <col min="16" max="16384" style="70" width="9.140625" collapsed="fals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Y37" activePane="bottomRight" state="frozen"/>
      <selection pane="topRight"/>
      <selection pane="bottomLeft"/>
      <selection pane="bottomRight" activeCell="BK48" sqref="BK48"/>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bestFit="true" customWidth="true" width="27.0" collapsed="false"/>
    <col min="8" max="8" customWidth="true" width="12.42578125" collapsed="false"/>
    <col min="9" max="9" bestFit="true" customWidth="true" width="20.7109375" collapsed="false"/>
    <col min="10" max="10" bestFit="true" customWidth="true" width="23.42578125" collapsed="fals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1205</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1205</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1205</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1205</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1205</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1205</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1205</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1205</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1205</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1205</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1205</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1205</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1205</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1205</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1205</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1205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1205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1205</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1205</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1205</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1205</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1205</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1205</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1205</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1205</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1205</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8">
        <v>6.25</v>
      </c>
      <c r="V48" s="18">
        <f>S48-U48</f>
        <v>18.75</v>
      </c>
      <c r="W48" s="12">
        <v>4.8120000000000003</v>
      </c>
      <c r="X48" s="12">
        <v>0</v>
      </c>
      <c r="Y48" s="12">
        <v>68.989999999999995</v>
      </c>
      <c r="Z48" s="12" t="s">
        <v>10</v>
      </c>
      <c r="AA48" s="12"/>
      <c r="AB48" s="33">
        <v>6.25</v>
      </c>
      <c r="AC48" s="18">
        <v>1.23</v>
      </c>
      <c r="AD48" s="12">
        <f>ROUND(Y48-AA48,3)</f>
        <v>68.989999999999995</v>
      </c>
      <c r="AE48" s="18">
        <f>ROUND((Y48+AP48+BB48)*AC48/100,3)</f>
        <v>1.415</v>
      </c>
      <c r="AF48" s="12">
        <v>8.5120000000000005</v>
      </c>
      <c r="AG48" s="16">
        <f>ROUND(Y48+AP48+AE48+BC48,2)</f>
        <v>184.18</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135.488</v>
      </c>
      <c r="AU48" s="35">
        <f>AT48</f>
        <v>135.488</v>
      </c>
      <c r="AV48" s="35">
        <f>ROUND(AT48-AU48,AL48)</f>
        <v>0</v>
      </c>
      <c r="AW48" s="12">
        <v>0</v>
      </c>
      <c r="AX48" s="35">
        <f>ROUND(AV48-AW48,AL48)</f>
        <v>0</v>
      </c>
      <c r="AY48" s="12">
        <v>0</v>
      </c>
      <c r="AZ48" s="35">
        <f>ROUND(AX48-AY48,AL48)</f>
        <v>0</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1205</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1205</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1205</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1205</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1205</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1205</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1205</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1205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2026-02-28T14:55:51Z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