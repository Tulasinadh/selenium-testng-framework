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7" i="19" l="1"/>
  <c r="AG48" i="19"/>
  <c r="BC48" i="19"/>
  <c r="BC43" i="19"/>
  <c r="BC47" i="19" l="1"/>
  <c r="AD48" i="19"/>
  <c r="AD37" i="19"/>
  <c r="V48" i="19"/>
  <c r="AU49" i="19" l="1"/>
  <c r="AT49" i="19"/>
  <c r="Y47" i="19" l="1"/>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8" i="19" l="1"/>
  <c r="AT48" i="19" s="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U48" i="19" l="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<sst xmlns="http://schemas.openxmlformats.org/spreadsheetml/2006/main" count="3995" uniqueCount="1207">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</sst>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L38" activePane="bottomRight" state="frozen"/>
      <selection pane="topRight"/>
      <selection pane="bottomLeft"/>
      <selection pane="bottomRight" activeCell="X48" sqref="X4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v>68.989999999999995</v>
      </c>
      <c r="Z48" s="12" t="s">
        <v>10</v>
      </c>
      <c r="AA48" s="12">
        <v>1.2350000000000001</v>
      </c>
      <c r="AB48" s="33">
        <v>6.25</v>
      </c>
      <c r="AC48" s="18">
        <v>1.23</v>
      </c>
      <c r="AD48" s="12">
        <f>ROUND(Y48-AA48,3)</f>
        <v>67.754999999999995</v>
      </c>
      <c r="AE48" s="18">
        <f>ROUND((Y48+AP48+BB48)*AC48/100,3)</f>
        <v>1.415</v>
      </c>
      <c r="AF48" s="12">
        <v>8.5120000000000005</v>
      </c>
      <c r="AG48" s="16">
        <f>ROUND(Y48+AP48+AE48+BC48,2)</f>
        <v>184.18</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135.488</v>
      </c>
      <c r="AU48" s="35">
        <f>AT48</f>
        <v>135.488</v>
      </c>
      <c r="AV48" s="35">
        <f>ROUND(AT48-AU48,AL48)</f>
        <v>0</v>
      </c>
      <c r="AW48" s="12">
        <v>0</v>
      </c>
      <c r="AX48" s="35">
        <f>ROUND(AV48-AW48,AL48)</f>
        <v>0</v>
      </c>
      <c r="AY48" s="12">
        <v>0</v>
      </c>
      <c r="AZ48" s="35">
        <f>ROUND(AX48-AY48,AL48)</f>
        <v>0</v>
      </c>
      <c r="BA48" s="12">
        <v>0</v>
      </c>
      <c r="BB48" s="12">
        <v>3.456</v>
      </c>
      <c r="BC48" s="16">
        <f>ROUND((AD48+BB48),2)</f>
        <v>71.209999999999994</v>
      </c>
      <c r="BD48" s="12" t="s">
        <v>10</v>
      </c>
      <c r="BE48" s="12" t="s">
        <v>10</v>
      </c>
      <c r="BF48" s="12">
        <v>0</v>
      </c>
      <c r="BG48" s="12">
        <v>0</v>
      </c>
      <c r="BH48" s="12">
        <v>0</v>
      </c>
      <c r="BI48" s="12" t="s">
        <v>15</v>
      </c>
      <c r="BJ48" s="12" t="s">
        <v>15</v>
      </c>
      <c r="BK48" s="12" t="s">
        <v>15</v>
      </c>
      <c r="BL48" s="12"/>
      <c r="BM48" s="12" t="s">
        <v>15</v>
      </c>
      <c r="BN48" t="s">
        <v>1206</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2026-02-28T16:00:51Z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