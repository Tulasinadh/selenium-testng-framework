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alcChain.xml" ContentType="application/vnd.openxmlformats-officedocument.spreadsheetml.calcChain+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defaultThemeVersion="124226"/>
  <mc:AlternateContent>
    <mc:Choice Requires="x15">
      <x15ac:absPath xmlns:x15ac="http://schemas.microsoft.com/office/spreadsheetml/2010/11/ac" url="E:\Accu\Automation\ACGen5_Dynamic_xmpie\TestData\"/>
    </mc:Choice>
  </mc:AlternateContent>
  <xr:revisionPtr revIDLastSave="0" documentId="13_ncr:1_{72DDFABE-0760-4DB9-A882-EB10FA19B7BB}" xr6:coauthVersionLast="36" xr6:coauthVersionMax="36" xr10:uidLastSave="{00000000-0000-0000-0000-000000000000}"/>
  <bookViews>
    <workbookView xWindow="0" yWindow="0" windowWidth="16020" windowHeight="6810" firstSheet="3" activeTab="5" xr2:uid="{00000000-000D-0000-FFFF-FFFF00000000}"/>
  </bookViews>
  <sheets>
    <sheet name="HDR" sheetId="22" r:id="rId1"/>
    <sheet name="Flow Desgin" sheetId="23" r:id="rId2"/>
    <sheet name="Automation_Flow Steps" sheetId="24" r:id="rId3"/>
    <sheet name="Admin_Product_TCs" sheetId="27" r:id="rId4"/>
    <sheet name="User_OrderFlow_TCs" sheetId="26" r:id="rId5"/>
    <sheet name="TestData" sheetId="19" r:id="rId6"/>
    <sheet name="Pricing_Automation_Coverage" sheetId="25" r:id="rId7"/>
  </sheets>
  <definedNames>
    <definedName name="_xlnm._FilterDatabase" localSheetId="3" hidden="1">Admin_Product_TCs!$A$1:$I$81</definedName>
    <definedName name="_xlnm._FilterDatabase" localSheetId="5" hidden="1">TestData!$B$1:$BM$1</definedName>
    <definedName name="_xlnm._FilterDatabase" localSheetId="4" hidden="1">User_OrderFlow_TCs!$A$1:$O$317</definedName>
  </definedNames>
  <calcPr calcId="191029"/>
</workbook>
</file>

<file path=xl/calcChain.xml><?xml version="1.0" encoding="utf-8"?>
<calcChain xmlns="http://schemas.openxmlformats.org/spreadsheetml/2006/main">
  <c r="S6" i="19" l="1"/>
  <c r="AR53" i="19" l="1"/>
  <c r="AR45" i="19"/>
  <c r="AR44" i="19"/>
  <c r="AR43" i="19"/>
  <c r="AR11" i="19"/>
  <c r="AR10" i="19"/>
  <c r="AR6" i="19"/>
  <c r="Y53" i="19"/>
  <c r="Y45" i="19"/>
  <c r="AE45" i="19" s="1"/>
  <c r="Y44" i="19"/>
  <c r="Y11" i="19"/>
  <c r="AE11" i="19" s="1"/>
  <c r="Y10" i="19"/>
  <c r="Y6" i="19" l="1"/>
  <c r="D320" i="26" l="1"/>
  <c r="D319" i="26"/>
  <c r="E17" i="22" l="1"/>
  <c r="AG45" i="19"/>
  <c r="AQ57" i="19" l="1"/>
  <c r="AP57" i="19"/>
  <c r="AB57" i="19"/>
  <c r="S57" i="19"/>
  <c r="Y57" i="19" s="1"/>
  <c r="BC56" i="19"/>
  <c r="AQ56" i="19"/>
  <c r="AP56" i="19"/>
  <c r="AB56" i="19"/>
  <c r="S56" i="19"/>
  <c r="Y56" i="19" s="1"/>
  <c r="BC55" i="19"/>
  <c r="AQ55" i="19"/>
  <c r="AP55" i="19"/>
  <c r="AB55" i="19"/>
  <c r="S55" i="19"/>
  <c r="Y55" i="19" s="1"/>
  <c r="AQ53" i="19"/>
  <c r="AP53" i="19"/>
  <c r="AE53" i="19" s="1"/>
  <c r="BC52" i="19"/>
  <c r="AQ52" i="19"/>
  <c r="AP52" i="19"/>
  <c r="AB52" i="19"/>
  <c r="S52" i="19"/>
  <c r="Y52" i="19" s="1"/>
  <c r="BC51" i="19"/>
  <c r="AQ51" i="19"/>
  <c r="AP51" i="19"/>
  <c r="AB51" i="19"/>
  <c r="S51" i="19"/>
  <c r="Y51" i="19" s="1"/>
  <c r="AV49" i="19"/>
  <c r="AX49" i="19" s="1"/>
  <c r="AZ49" i="19" s="1"/>
  <c r="AQ49" i="19"/>
  <c r="AP49" i="19"/>
  <c r="S49" i="19"/>
  <c r="AQ48" i="19"/>
  <c r="AP48" i="19"/>
  <c r="AE48" i="19" s="1"/>
  <c r="S48" i="19"/>
  <c r="BC47" i="19"/>
  <c r="AQ47" i="19"/>
  <c r="AP47" i="19"/>
  <c r="AE47" i="19" s="1"/>
  <c r="S47" i="19"/>
  <c r="AQ44" i="19"/>
  <c r="AP44" i="19"/>
  <c r="AE44" i="19" s="1"/>
  <c r="BC43" i="19"/>
  <c r="AQ43" i="19"/>
  <c r="AP43" i="19"/>
  <c r="AB43" i="19"/>
  <c r="S43" i="19"/>
  <c r="Y43" i="19" s="1"/>
  <c r="BC42" i="19"/>
  <c r="AQ42" i="19"/>
  <c r="AP42" i="19"/>
  <c r="AB42" i="19"/>
  <c r="S42" i="19"/>
  <c r="Y42" i="19" s="1"/>
  <c r="BC41" i="19"/>
  <c r="AQ41" i="19"/>
  <c r="AP41" i="19"/>
  <c r="AB41" i="19"/>
  <c r="S41" i="19"/>
  <c r="Y41" i="19" s="1"/>
  <c r="BC40" i="19"/>
  <c r="AQ40" i="19"/>
  <c r="AP40" i="19"/>
  <c r="AB40" i="19"/>
  <c r="S40" i="19"/>
  <c r="Y40" i="19" s="1"/>
  <c r="AP38" i="19"/>
  <c r="AB38" i="19"/>
  <c r="S38" i="19"/>
  <c r="Y38" i="19" s="1"/>
  <c r="AP37" i="19"/>
  <c r="AB37" i="19"/>
  <c r="S37" i="19"/>
  <c r="Y37" i="19" s="1"/>
  <c r="AP36" i="19"/>
  <c r="AB36" i="19"/>
  <c r="S36" i="19"/>
  <c r="Y36" i="19" s="1"/>
  <c r="AD36" i="19" s="1"/>
  <c r="AQ34" i="19"/>
  <c r="AP34" i="19"/>
  <c r="AB34" i="19"/>
  <c r="S34" i="19"/>
  <c r="Y34" i="19" s="1"/>
  <c r="AQ33" i="19"/>
  <c r="AP33" i="19"/>
  <c r="AB33" i="19"/>
  <c r="S33" i="19"/>
  <c r="Y33" i="19" s="1"/>
  <c r="AQ32" i="19"/>
  <c r="AP32" i="19"/>
  <c r="AB32" i="19"/>
  <c r="S32" i="19"/>
  <c r="Y32" i="19" s="1"/>
  <c r="AQ30" i="19"/>
  <c r="AP30" i="19"/>
  <c r="AB30" i="19"/>
  <c r="S30" i="19"/>
  <c r="Y30" i="19" s="1"/>
  <c r="AQ28" i="19"/>
  <c r="AP28" i="19"/>
  <c r="AB28" i="19"/>
  <c r="S28" i="19"/>
  <c r="Y28" i="19" s="1"/>
  <c r="BC26" i="19"/>
  <c r="AP26" i="19"/>
  <c r="S26" i="19"/>
  <c r="Y26" i="19" s="1"/>
  <c r="AQ25" i="19"/>
  <c r="AP25" i="19"/>
  <c r="AB25" i="19"/>
  <c r="S25" i="19"/>
  <c r="Y25" i="19" s="1"/>
  <c r="BC24" i="19"/>
  <c r="AQ24" i="19"/>
  <c r="AP24" i="19"/>
  <c r="AB24" i="19"/>
  <c r="S24" i="19"/>
  <c r="Y24" i="19" s="1"/>
  <c r="BC23" i="19"/>
  <c r="AQ23" i="19"/>
  <c r="AP23" i="19"/>
  <c r="AB23" i="19"/>
  <c r="S23" i="19"/>
  <c r="Y23" i="19" s="1"/>
  <c r="BC22" i="19"/>
  <c r="AQ22" i="19"/>
  <c r="AP22" i="19"/>
  <c r="AB22" i="19"/>
  <c r="S22" i="19"/>
  <c r="Y22" i="19" s="1"/>
  <c r="BC21" i="19"/>
  <c r="AQ21" i="19"/>
  <c r="AP21" i="19"/>
  <c r="AB21" i="19"/>
  <c r="S21" i="19"/>
  <c r="Y21" i="19" s="1"/>
  <c r="BC19" i="19"/>
  <c r="AQ19" i="19"/>
  <c r="AP19" i="19"/>
  <c r="AB19" i="19"/>
  <c r="S19" i="19"/>
  <c r="Y19" i="19" s="1"/>
  <c r="BC18" i="19"/>
  <c r="AQ18" i="19"/>
  <c r="AP18" i="19"/>
  <c r="AB18" i="19"/>
  <c r="S18" i="19"/>
  <c r="Y18" i="19" s="1"/>
  <c r="BC17" i="19"/>
  <c r="AQ17" i="19"/>
  <c r="AP17" i="19"/>
  <c r="AB17" i="19"/>
  <c r="S17" i="19"/>
  <c r="Y17" i="19" s="1"/>
  <c r="BC15" i="19"/>
  <c r="AQ15" i="19"/>
  <c r="AP15" i="19"/>
  <c r="AB15" i="19"/>
  <c r="S15" i="19"/>
  <c r="Y15" i="19" s="1"/>
  <c r="AE15" i="19" s="1"/>
  <c r="BC14" i="19"/>
  <c r="AQ14" i="19"/>
  <c r="AP14" i="19"/>
  <c r="AB14" i="19"/>
  <c r="S14" i="19"/>
  <c r="Y14" i="19" s="1"/>
  <c r="BC13" i="19"/>
  <c r="AQ13" i="19"/>
  <c r="AP13" i="19"/>
  <c r="AB13" i="19"/>
  <c r="S13" i="19"/>
  <c r="Y13" i="19" s="1"/>
  <c r="AG11" i="19"/>
  <c r="AQ10" i="19"/>
  <c r="AP10" i="19"/>
  <c r="AE10" i="19" s="1"/>
  <c r="BC9" i="19"/>
  <c r="AQ9" i="19"/>
  <c r="AP9" i="19"/>
  <c r="AB9" i="19"/>
  <c r="S9" i="19"/>
  <c r="Y9" i="19" s="1"/>
  <c r="BC8" i="19"/>
  <c r="AQ8" i="19"/>
  <c r="AP8" i="19"/>
  <c r="AB8" i="19"/>
  <c r="S8" i="19"/>
  <c r="Y8" i="19" s="1"/>
  <c r="AQ6" i="19"/>
  <c r="AP6" i="19"/>
  <c r="AE6" i="19" s="1"/>
  <c r="BC5" i="19"/>
  <c r="AQ5" i="19"/>
  <c r="AP5" i="19"/>
  <c r="AB5" i="19"/>
  <c r="S5" i="19"/>
  <c r="Y5" i="19" s="1"/>
  <c r="BC4" i="19"/>
  <c r="AQ4" i="19"/>
  <c r="AP4" i="19"/>
  <c r="AB4" i="19"/>
  <c r="S4" i="19"/>
  <c r="Y4" i="19" s="1"/>
  <c r="BC3" i="19"/>
  <c r="AQ3" i="19"/>
  <c r="AP3" i="19"/>
  <c r="AB3" i="19"/>
  <c r="S3" i="19"/>
  <c r="Y3" i="19" s="1"/>
  <c r="AE43" i="19" l="1"/>
  <c r="AE23" i="19"/>
  <c r="AG23" i="19" s="1"/>
  <c r="AE14" i="19"/>
  <c r="AG14" i="19" s="1"/>
  <c r="AE22" i="19"/>
  <c r="AG22" i="19" s="1"/>
  <c r="AE38" i="19"/>
  <c r="AG38" i="19" s="1"/>
  <c r="AE41" i="19"/>
  <c r="AG41" i="19" s="1"/>
  <c r="AE52" i="19"/>
  <c r="AG52" i="19" s="1"/>
  <c r="AE18" i="19"/>
  <c r="AG18" i="19" s="1"/>
  <c r="AE17" i="19"/>
  <c r="AG17" i="19" s="1"/>
  <c r="AE33" i="19"/>
  <c r="AG33" i="19" s="1"/>
  <c r="AG43" i="19"/>
  <c r="AE21" i="19"/>
  <c r="AG21" i="19" s="1"/>
  <c r="AG53" i="19"/>
  <c r="AE19" i="19"/>
  <c r="AG19" i="19" s="1"/>
  <c r="AG10" i="19"/>
  <c r="V24" i="19"/>
  <c r="AE40" i="19"/>
  <c r="AG40" i="19" s="1"/>
  <c r="AE51" i="19"/>
  <c r="AG51" i="19" s="1"/>
  <c r="AE42" i="19"/>
  <c r="AG42" i="19" s="1"/>
  <c r="AG47" i="19"/>
  <c r="AT47" i="19" s="1"/>
  <c r="AV47" i="19" s="1"/>
  <c r="AX47" i="19" s="1"/>
  <c r="AZ47" i="19" s="1"/>
  <c r="AG6" i="19"/>
  <c r="AG48" i="19"/>
  <c r="AT48" i="19" s="1"/>
  <c r="AV48" i="19" s="1"/>
  <c r="AX48" i="19" s="1"/>
  <c r="AZ48" i="19" s="1"/>
  <c r="AG44" i="19"/>
  <c r="AE49" i="19"/>
  <c r="AG49" i="19" s="1"/>
  <c r="AE5" i="19"/>
  <c r="AG5" i="19" s="1"/>
  <c r="AE24" i="19"/>
  <c r="AG24" i="19" s="1"/>
  <c r="AD25" i="19"/>
  <c r="BC25" i="19" s="1"/>
  <c r="AE25" i="19"/>
  <c r="AE37" i="19"/>
  <c r="AG37" i="19" s="1"/>
  <c r="AD37" i="19"/>
  <c r="AE4" i="19"/>
  <c r="AG4" i="19" s="1"/>
  <c r="AE13" i="19"/>
  <c r="AG13" i="19" s="1"/>
  <c r="AD28" i="19"/>
  <c r="BC28" i="19" s="1"/>
  <c r="AE28" i="19"/>
  <c r="AD30" i="19"/>
  <c r="BC30" i="19" s="1"/>
  <c r="AE30" i="19"/>
  <c r="AE32" i="19"/>
  <c r="AG32" i="19" s="1"/>
  <c r="AE55" i="19"/>
  <c r="AG55" i="19" s="1"/>
  <c r="AE57" i="19"/>
  <c r="AD57" i="19"/>
  <c r="BC57" i="19" s="1"/>
  <c r="AE3" i="19"/>
  <c r="AG3" i="19" s="1"/>
  <c r="AE26" i="19"/>
  <c r="AG26" i="19" s="1"/>
  <c r="AE34" i="19"/>
  <c r="AG34" i="19" s="1"/>
  <c r="AE56" i="19"/>
  <c r="AG56" i="19" s="1"/>
  <c r="AG15" i="19"/>
  <c r="V25" i="19"/>
  <c r="V28" i="19"/>
  <c r="V30" i="19"/>
  <c r="AE36" i="19"/>
  <c r="AG36" i="19" s="1"/>
  <c r="AE8" i="19"/>
  <c r="AG8" i="19" s="1"/>
  <c r="AE9" i="19"/>
  <c r="AG9" i="19" s="1"/>
  <c r="AG30" i="19" l="1"/>
  <c r="AG28" i="19"/>
  <c r="AG57" i="19"/>
  <c r="AG25" i="19"/>
</calcChain>
</file>

<file path=xl/sharedStrings.xml><?xml version="1.0" encoding="utf-8"?>
<sst xmlns="http://schemas.openxmlformats.org/spreadsheetml/2006/main" count="3995" uniqueCount="1207">
  <si>
    <t>S.NO</t>
  </si>
  <si>
    <t>Product Name</t>
  </si>
  <si>
    <t>Process Type</t>
  </si>
  <si>
    <t>Order Type</t>
  </si>
  <si>
    <t>Data details</t>
  </si>
  <si>
    <t>Count</t>
  </si>
  <si>
    <t>Order</t>
  </si>
  <si>
    <t>Special cases</t>
  </si>
  <si>
    <t>Discount</t>
  </si>
  <si>
    <t>Tax</t>
  </si>
  <si>
    <t>N</t>
  </si>
  <si>
    <t>Billing</t>
  </si>
  <si>
    <t>--Select--</t>
  </si>
  <si>
    <t>ON</t>
  </si>
  <si>
    <t>YES</t>
  </si>
  <si>
    <t>NO</t>
  </si>
  <si>
    <t>ShipToMyAddress</t>
  </si>
  <si>
    <t>TC#</t>
  </si>
  <si>
    <t>TS#</t>
  </si>
  <si>
    <t>Parameters</t>
  </si>
  <si>
    <t>Product Type</t>
  </si>
  <si>
    <t>Order Base</t>
  </si>
  <si>
    <t>PaymentType</t>
  </si>
  <si>
    <t>PaymentSubOption</t>
  </si>
  <si>
    <t>CostCenter</t>
  </si>
  <si>
    <t>ShipAddSameAsBillAdd</t>
  </si>
  <si>
    <t>WeightPerPackage</t>
  </si>
  <si>
    <t>CalculateTaxCondition</t>
  </si>
  <si>
    <t>Enable Promotions/Discounts</t>
  </si>
  <si>
    <t>EnableZeroAmountOrder&amp;BillingAddressForZeroAmount</t>
  </si>
  <si>
    <t>Product Base Price</t>
  </si>
  <si>
    <t>Quantity</t>
  </si>
  <si>
    <t>Proudct Price (PP)</t>
  </si>
  <si>
    <t>Proudct Price (FR)</t>
  </si>
  <si>
    <t>SubTotal</t>
  </si>
  <si>
    <t>Disc Per</t>
  </si>
  <si>
    <t>Discount calculation from SubTotal</t>
  </si>
  <si>
    <t>Addons</t>
  </si>
  <si>
    <t>Total Price</t>
  </si>
  <si>
    <t>Promotion Disc Per</t>
  </si>
  <si>
    <t>Promotion Coupon</t>
  </si>
  <si>
    <t>Discount Price</t>
  </si>
  <si>
    <t>Price after applying Coupon</t>
  </si>
  <si>
    <t>Price after calculating tax</t>
  </si>
  <si>
    <t>OrderBaseShipping</t>
  </si>
  <si>
    <t>Total</t>
  </si>
  <si>
    <t>Decimal Value</t>
  </si>
  <si>
    <t>Weightdecimalvalue</t>
  </si>
  <si>
    <t>Weighttype</t>
  </si>
  <si>
    <t>Weightdecimaltext</t>
  </si>
  <si>
    <t>OrderAmountValue</t>
  </si>
  <si>
    <t>Is Shipping Taxable</t>
  </si>
  <si>
    <t>Promotion discount after subtracting from sub total</t>
  </si>
  <si>
    <t>Shipping Price per piece</t>
  </si>
  <si>
    <t>Addon Price per piece</t>
  </si>
  <si>
    <t>Payment1Price</t>
  </si>
  <si>
    <t>AmtAfterPayment1</t>
  </si>
  <si>
    <t>Payment2Price</t>
  </si>
  <si>
    <t>AmtAfterPayment2</t>
  </si>
  <si>
    <t>Payment3Price</t>
  </si>
  <si>
    <t>AmtAfterPayment3</t>
  </si>
  <si>
    <t>Payment4Price</t>
  </si>
  <si>
    <t>AmtAfterPayment4</t>
  </si>
  <si>
    <t>Payment5Price</t>
  </si>
  <si>
    <t>user order shipping orhandling fee</t>
  </si>
  <si>
    <t>Price after applying handiling fee</t>
  </si>
  <si>
    <t>Fullfilment ShippingOrHandling FeeTypeAmountPercent</t>
  </si>
  <si>
    <t>FullfilmentShippingMarkupFee AmountPercentType Amount</t>
  </si>
  <si>
    <t>Fullfilment ShippingOrHandling Fee</t>
  </si>
  <si>
    <t>FullfilmentShippingMarkupFee</t>
  </si>
  <si>
    <t>IfShippingaddressIseditble</t>
  </si>
  <si>
    <t>IsTaxExempt</t>
  </si>
  <si>
    <t>ZeroAmountorder</t>
  </si>
  <si>
    <t>Order TypeSplitShip</t>
  </si>
  <si>
    <t>Custom Tax_ON</t>
  </si>
  <si>
    <t>NO_YES</t>
  </si>
  <si>
    <t>Yes</t>
  </si>
  <si>
    <t>Check_Consolidated_100</t>
  </si>
  <si>
    <t>Customrole</t>
  </si>
  <si>
    <t>Priceafterapplyingfulfillmentshippingmarkupfee</t>
  </si>
  <si>
    <t>2 Decimal point</t>
  </si>
  <si>
    <t>Enable promotions ON/OFF conditions</t>
  </si>
  <si>
    <t>Enable Zero Amount Order</t>
  </si>
  <si>
    <t>Base Price Scenarios</t>
  </si>
  <si>
    <t>Multipayment Pricing cases</t>
  </si>
  <si>
    <t>Shipping Handling fee - Disabled Cases</t>
  </si>
  <si>
    <t>Payment Methods(Coop Fund)</t>
  </si>
  <si>
    <t>Order Amount Decimals conditions</t>
  </si>
  <si>
    <t>Is Shipping Taxable-NO</t>
  </si>
  <si>
    <t>IfShippingaddressIseditble-YES</t>
  </si>
  <si>
    <t>Total TSs count</t>
  </si>
  <si>
    <t>3 Decimal point</t>
  </si>
  <si>
    <t>Check_Consolidated_45</t>
  </si>
  <si>
    <t>4 Decimal point</t>
  </si>
  <si>
    <t>NO_UserChkBoxYES</t>
  </si>
  <si>
    <t>Check_Consolidated_46</t>
  </si>
  <si>
    <t>Mailinglist</t>
  </si>
  <si>
    <t>Check_Consolidated_47</t>
  </si>
  <si>
    <t>Check_Consolidated_50</t>
  </si>
  <si>
    <t>Check_Individual</t>
  </si>
  <si>
    <t>OFF</t>
  </si>
  <si>
    <t>NO_UserSelectedShip</t>
  </si>
  <si>
    <t>AuthNet_Acap_MasterCard</t>
  </si>
  <si>
    <t>KGS</t>
  </si>
  <si>
    <t>No</t>
  </si>
  <si>
    <t>YES_NO</t>
  </si>
  <si>
    <t>NO_NO</t>
  </si>
  <si>
    <t>YES_YES</t>
  </si>
  <si>
    <t>Co-Op Fund</t>
  </si>
  <si>
    <t>FIFO</t>
  </si>
  <si>
    <t>ExpiryDate</t>
  </si>
  <si>
    <t>,AuthNet_Aonly_MasterCard</t>
  </si>
  <si>
    <t>SplitShip</t>
  </si>
  <si>
    <t>ShipToMultipleAddress</t>
  </si>
  <si>
    <t>Shipitemstomultipleadresses</t>
  </si>
  <si>
    <t>Dynamic xmpie_AT</t>
  </si>
  <si>
    <t>Order BASE: "Dynamic xmpie_AT" &amp; Item Price - Per Piece</t>
  </si>
  <si>
    <t>Order BASE: "Dynamic xmpie_AT" &amp; Item Price - Flat Rate</t>
  </si>
  <si>
    <t>Split Ship: "Dynamic xmpie_AT" - Ship To My Address</t>
  </si>
  <si>
    <t>Split Ship: "Dynamic xmpie_AT" - Ship To Multiple Address</t>
  </si>
  <si>
    <t>Dynamic_XMPie</t>
  </si>
  <si>
    <t>Dynamic XMPie</t>
  </si>
  <si>
    <t>Item Price</t>
  </si>
  <si>
    <t>Base price</t>
  </si>
  <si>
    <t>Zero Amount Order</t>
  </si>
  <si>
    <t>Fulfillment charges</t>
  </si>
  <si>
    <t>Shipping/Handling Fee</t>
  </si>
  <si>
    <t>Shipping Markup Fee</t>
  </si>
  <si>
    <t>Posatge Pricing</t>
  </si>
  <si>
    <t>Script/Product</t>
  </si>
  <si>
    <t>TC No</t>
  </si>
  <si>
    <t>Test Description</t>
  </si>
  <si>
    <t>Expected Result</t>
  </si>
  <si>
    <t>TC01</t>
  </si>
  <si>
    <t>Test the application by logging in as admin</t>
  </si>
  <si>
    <t>Application should login as admin successfully</t>
  </si>
  <si>
    <t>TC02</t>
  </si>
  <si>
    <t>Test the application by navigating to the Settings page</t>
  </si>
  <si>
    <t>Application should navigate to the Settings page successfully</t>
  </si>
  <si>
    <t>TC03</t>
  </si>
  <si>
    <t>Test the application by opening the General Settings section</t>
  </si>
  <si>
    <t>Application should display the General Settings successfully</t>
  </si>
  <si>
    <t>TC04</t>
  </si>
  <si>
    <t>Test the application by providing the decimal values and saving</t>
  </si>
  <si>
    <t>Application should setup the decimal values successfully</t>
  </si>
  <si>
    <t>TC05</t>
  </si>
  <si>
    <t>Test the application by providing the tax settings and saving</t>
  </si>
  <si>
    <t>Application should setup the tax successfully</t>
  </si>
  <si>
    <t>TC06</t>
  </si>
  <si>
    <t>Test the application by providing the promotion settings and saving</t>
  </si>
  <si>
    <t>Application should setup the promotions successfully</t>
  </si>
  <si>
    <t>TC07</t>
  </si>
  <si>
    <t>Test the application by opening Order Management section</t>
  </si>
  <si>
    <t>Application should display Order Management settings successfully</t>
  </si>
  <si>
    <t>TC08</t>
  </si>
  <si>
    <t>Test the application by setting up the zero amount order and saving</t>
  </si>
  <si>
    <t>Application should setup the zero amount order successfully</t>
  </si>
  <si>
    <t>TC09</t>
  </si>
  <si>
    <t>Test the application by navigating to the Shipping section</t>
  </si>
  <si>
    <t>Application should display the Shipping settings successfully</t>
  </si>
  <si>
    <t>TC10</t>
  </si>
  <si>
    <t>Test the application by setting up the shipping and shipping price basis and saving</t>
  </si>
  <si>
    <t>Application should setup the shipping and shipping price basis successfully</t>
  </si>
  <si>
    <t>TC11</t>
  </si>
  <si>
    <t>Test the application by providing the package weight settings and saving</t>
  </si>
  <si>
    <t>Application should setup the package weight successfully</t>
  </si>
  <si>
    <t>TC12</t>
  </si>
  <si>
    <t>Test the application by providing the order shipping/handling fee settings and saving</t>
  </si>
  <si>
    <t>Application should setup the order shipping/handling fee successfully</t>
  </si>
  <si>
    <t>TC13</t>
  </si>
  <si>
    <t>Test the application by providing the UPS/USPS settings and saving</t>
  </si>
  <si>
    <t>Application should setup the UPS/USPS settings successfully</t>
  </si>
  <si>
    <t>TC14</t>
  </si>
  <si>
    <t>Test the application by navigating to the Payments section</t>
  </si>
  <si>
    <t>Application should display the Payments settings successfully</t>
  </si>
  <si>
    <t>TC15</t>
  </si>
  <si>
    <t>Test the application by providing the payment method settings and saving</t>
  </si>
  <si>
    <t>Application should setup the payment method successfully</t>
  </si>
  <si>
    <t>TC16</t>
  </si>
  <si>
    <t>Test the application by providing the multi payment method settings and saving</t>
  </si>
  <si>
    <t>Application should setup the multi payment method successfully</t>
  </si>
  <si>
    <t>TC17</t>
  </si>
  <si>
    <t>Test the application by providing the cost center settings and saving</t>
  </si>
  <si>
    <t>Application should setup the cost center successfully</t>
  </si>
  <si>
    <t>TC18</t>
  </si>
  <si>
    <t>Test the application by setting the shipping address same as billing address and saving</t>
  </si>
  <si>
    <t>Application should setup the shipping address same as billing address setting successfully</t>
  </si>
  <si>
    <t>TC19</t>
  </si>
  <si>
    <t>Test the application by navigating to the Tax section</t>
  </si>
  <si>
    <t>Application should display the Tax settings successfully</t>
  </si>
  <si>
    <t>TC20</t>
  </si>
  <si>
    <t>TC21</t>
  </si>
  <si>
    <t>Test the application by opening the Fulfillment Locations section</t>
  </si>
  <si>
    <t>Application should display the fulfillment location settings successfully</t>
  </si>
  <si>
    <t>TC22</t>
  </si>
  <si>
    <t>Test the application by providing the shipping/handling fee and type settings and saving</t>
  </si>
  <si>
    <t>Application should setup the shipping/handling fee and type successfully</t>
  </si>
  <si>
    <t>TC23</t>
  </si>
  <si>
    <t>Test the application by providing the shipping markup fee and type settings and saving</t>
  </si>
  <si>
    <t>Application should setup the shipping markup fee and type successfully</t>
  </si>
  <si>
    <t>TC24</t>
  </si>
  <si>
    <t>Test the application by providing the fulfillment charge settings and saving</t>
  </si>
  <si>
    <t>Application should setup the fulfillment charge successfully</t>
  </si>
  <si>
    <t>TC25</t>
  </si>
  <si>
    <t>Test the application by navigating to the Products section</t>
  </si>
  <si>
    <t>Application should display the product-related settings successfully</t>
  </si>
  <si>
    <t>TC26</t>
  </si>
  <si>
    <t>Test the application by navigating to the Pricing subsection</t>
  </si>
  <si>
    <t>Application should display the pricing settings successfully</t>
  </si>
  <si>
    <t>TC27</t>
  </si>
  <si>
    <t>Test the application by providing the item price settings and saving</t>
  </si>
  <si>
    <t>Application should setup the item price successfully</t>
  </si>
  <si>
    <t>TC28</t>
  </si>
  <si>
    <t>Test the application by providing the addon price settings and saving</t>
  </si>
  <si>
    <t>Application should setup the addon price successfully</t>
  </si>
  <si>
    <t>TC29</t>
  </si>
  <si>
    <t>Test the application by providing the shipping price settings and saving</t>
  </si>
  <si>
    <t>Application should setup the shipping price successfully</t>
  </si>
  <si>
    <t>TC30</t>
  </si>
  <si>
    <t>Test the application by navigating to the Promotions subsection</t>
  </si>
  <si>
    <t>Application should display the promotions page successfully</t>
  </si>
  <si>
    <t>TC31</t>
  </si>
  <si>
    <t>Test the application by providing the discount settings and saving</t>
  </si>
  <si>
    <t>Application should setup the discounts successfully</t>
  </si>
  <si>
    <t>TC32</t>
  </si>
  <si>
    <t>Test the application by providing the coupon settings and saving</t>
  </si>
  <si>
    <t>Application should setup the coupons successfully</t>
  </si>
  <si>
    <t>TC33</t>
  </si>
  <si>
    <t>Test the application by navigating to the Overview section</t>
  </si>
  <si>
    <t>Application should display the product overview successfully</t>
  </si>
  <si>
    <t>TC34</t>
  </si>
  <si>
    <t>Test the application by navigating the product setup page</t>
  </si>
  <si>
    <t>Application should navigate to product setup page</t>
  </si>
  <si>
    <t>TC35</t>
  </si>
  <si>
    <t>Test the application by providing the base price setup</t>
  </si>
  <si>
    <t>Application should setup the base price successfully</t>
  </si>
  <si>
    <t>TC36</t>
  </si>
  <si>
    <t>Test the application by providing the item price setup</t>
  </si>
  <si>
    <t>TC37</t>
  </si>
  <si>
    <t>Test the application by enabling  the IsTaxExempt and saving</t>
  </si>
  <si>
    <t>Application should setup the tax exemption successfully and save the product</t>
  </si>
  <si>
    <t>TC38</t>
  </si>
  <si>
    <t>Test the application by logging in as a user</t>
  </si>
  <si>
    <t>Application should login as user successfully</t>
  </si>
  <si>
    <t>TC39</t>
  </si>
  <si>
    <t>Test the application by accessing the shopping cart</t>
  </si>
  <si>
    <t>Application should display the shopping cart</t>
  </si>
  <si>
    <t>TC40</t>
  </si>
  <si>
    <t>Test the application behavior when products already exist in the cart</t>
  </si>
  <si>
    <t>Application should clear the cart if it contains products</t>
  </si>
  <si>
    <t>TC41</t>
  </si>
  <si>
    <t>Test the application by navigating to the homepage</t>
  </si>
  <si>
    <t>Application should display the homepage successfully</t>
  </si>
  <si>
    <t>TC42</t>
  </si>
  <si>
    <t>Test the application by navigating to Menu &gt; Categories</t>
  </si>
  <si>
    <t>Application should display the list of categories</t>
  </si>
  <si>
    <t>TC43</t>
  </si>
  <si>
    <t>Test the application by selecting the template</t>
  </si>
  <si>
    <t>Application should allow selecting the template successfully</t>
  </si>
  <si>
    <t>TC44</t>
  </si>
  <si>
    <t>Test the application by providing personalization details and saving</t>
  </si>
  <si>
    <t>Application should save personalization settings successfully</t>
  </si>
  <si>
    <t>TC45</t>
  </si>
  <si>
    <t>Test the application by selecting the list page</t>
  </si>
  <si>
    <t>Application should display the list page successfully</t>
  </si>
  <si>
    <t>TC46</t>
  </si>
  <si>
    <t>Test the application by selecting "Ship to My Address" option</t>
  </si>
  <si>
    <t>Application should save the shipping address successfully</t>
  </si>
  <si>
    <t>TC47</t>
  </si>
  <si>
    <t>Test the application by accessing the mailing list</t>
  </si>
  <si>
    <t>Application should display the mailing list</t>
  </si>
  <si>
    <t>TC48</t>
  </si>
  <si>
    <t>Test the application by navigating to the view summary page</t>
  </si>
  <si>
    <t>Application should display the order summary page successfully</t>
  </si>
  <si>
    <t>TC49</t>
  </si>
  <si>
    <t>Test the application by navigatig to Shopping cart page</t>
  </si>
  <si>
    <t>Application should navigate to shopping cart page</t>
  </si>
  <si>
    <t>TC50</t>
  </si>
  <si>
    <t>Test the application by clicking the checkout button</t>
  </si>
  <si>
    <t>Application should navigate to checkout page</t>
  </si>
  <si>
    <t>TC51</t>
  </si>
  <si>
    <t>Test the application by entering shipping details and click on next button</t>
  </si>
  <si>
    <t>Application should navigate to billing details page</t>
  </si>
  <si>
    <t>TC52</t>
  </si>
  <si>
    <t>Test the application by entering billing details and click on next button</t>
  </si>
  <si>
    <t>Application should save billing details successfully</t>
  </si>
  <si>
    <t>TC53</t>
  </si>
  <si>
    <t>Test the application by reviewing the order details</t>
  </si>
  <si>
    <t>Application should display the review orders section successfully</t>
  </si>
  <si>
    <t>TC54</t>
  </si>
  <si>
    <t>Test the application by submitting the order</t>
  </si>
  <si>
    <t>Application should place the order successfully</t>
  </si>
  <si>
    <t>TC55</t>
  </si>
  <si>
    <t>Verify whether order summary page is displayed or not after placing the order</t>
  </si>
  <si>
    <t>Application should display order summary page successfully</t>
  </si>
  <si>
    <t>TC56</t>
  </si>
  <si>
    <t>Test the application by clicking on go to my orders page</t>
  </si>
  <si>
    <t>Application should navigate to view orders page</t>
  </si>
  <si>
    <t>TC57</t>
  </si>
  <si>
    <t>Verify the order details in view orders page</t>
  </si>
  <si>
    <t>Application should display order details correctly</t>
  </si>
  <si>
    <t>Item Price - Per Piece</t>
  </si>
  <si>
    <t>Item Price - Flat Rate</t>
  </si>
  <si>
    <t>Split Ship - Ship To My Address</t>
  </si>
  <si>
    <t>Split Ship - Ship To Multiple Address</t>
  </si>
  <si>
    <t>1 to 4</t>
  </si>
  <si>
    <t>5 to 8</t>
  </si>
  <si>
    <t>9 to 11</t>
  </si>
  <si>
    <t>12 to 14</t>
  </si>
  <si>
    <t>15 to 20</t>
  </si>
  <si>
    <t>23 to 25</t>
  </si>
  <si>
    <t>26 to 28</t>
  </si>
  <si>
    <t>29 to 24</t>
  </si>
  <si>
    <t>35 to 37</t>
  </si>
  <si>
    <t>38 to 40</t>
  </si>
  <si>
    <t>40 to 43</t>
  </si>
  <si>
    <t>Addons Price</t>
  </si>
  <si>
    <t xml:space="preserve">Coupon </t>
  </si>
  <si>
    <t>Order Shipping Handling Fee</t>
  </si>
  <si>
    <t>Shipping Price</t>
  </si>
  <si>
    <t>Price Modules Covered In TestData</t>
  </si>
  <si>
    <t>NI</t>
  </si>
  <si>
    <t>Test Procedure</t>
  </si>
  <si>
    <t>Priority</t>
  </si>
  <si>
    <t>Complexity</t>
  </si>
  <si>
    <t>IsAutomated</t>
  </si>
  <si>
    <t>Result</t>
  </si>
  <si>
    <t xml:space="preserve">Defect Id
</t>
  </si>
  <si>
    <t>Defect Criticality</t>
  </si>
  <si>
    <t xml:space="preserve">Comments
</t>
  </si>
  <si>
    <t>Login Page:</t>
  </si>
  <si>
    <t>Verify user Login Functionality</t>
  </si>
  <si>
    <t>1. Launch the Application URL
2. Enter the valid username and Password
3. Click on submit button</t>
  </si>
  <si>
    <t>Application should  login  successfully</t>
  </si>
  <si>
    <t>P1</t>
  </si>
  <si>
    <t>Complex</t>
  </si>
  <si>
    <t>Pass</t>
  </si>
  <si>
    <t>TC#01</t>
  </si>
  <si>
    <t>Select Template Page:</t>
  </si>
  <si>
    <t>Verify the products count in select template which are displayed with the All Templates count created by admin.</t>
  </si>
  <si>
    <t>Application should display the products count based on admin created products count.</t>
  </si>
  <si>
    <t>Normal</t>
  </si>
  <si>
    <t>Verify weather Admin created Dynamic xmpie  templates are displaying or not.</t>
  </si>
  <si>
    <t>Verify the product information popup.</t>
  </si>
  <si>
    <t>Click&lt;Quick View&gt; Button</t>
  </si>
  <si>
    <t xml:space="preserve">Application should display the product information </t>
  </si>
  <si>
    <t>Verify whether application is allowing and saving user enter data in the key words text field</t>
  </si>
  <si>
    <t>Application should display the product name under search for selection when user searches with corresponding key words</t>
  </si>
  <si>
    <t>Select the Dynamic xmpie  template from select template page</t>
  </si>
  <si>
    <t>Select product from Select template page</t>
  </si>
  <si>
    <t>Application should navigate to the Personalization page</t>
  </si>
  <si>
    <t>Select the Dynamic xmpie  template from by search the product and verify.</t>
  </si>
  <si>
    <t>Search product</t>
  </si>
  <si>
    <t>Verify whether application is allowing user(admin) to select the effective date and product is displayed for selection in user flow from selected effective date</t>
  </si>
  <si>
    <t>Application sould display product for selection from selected date in user flow</t>
  </si>
  <si>
    <t>Verify the select template page, Click on list view icon.</t>
  </si>
  <si>
    <t>Application should display the products in List view.</t>
  </si>
  <si>
    <t>Verify the select template page, Click on Grid view icon.</t>
  </si>
  <si>
    <t>Application should display the products in Grid view.</t>
  </si>
  <si>
    <t xml:space="preserve">Verify whether application is display,allowing user to provide short decription in product details section in product info page and should allow admin to save the details page  </t>
  </si>
  <si>
    <t>Application should display the short description along with item details in user flow</t>
  </si>
  <si>
    <t>Verify whether application is allowing &amp; saving  user(admin) given product name.  in admin and whether display the same name in user flow</t>
  </si>
  <si>
    <t>Application should  display the given product/template name</t>
  </si>
  <si>
    <t>Verify whether application is allowing &amp; saving  user(admin) given product code in admin and whether display the same code in user flow/admin data grid</t>
  </si>
  <si>
    <t>Application should display product code in quick view pop up and in select list page</t>
  </si>
  <si>
    <t>Verify the thumbnail for the templates</t>
  </si>
  <si>
    <t xml:space="preserve">Application should display the thumbnails of the Dynamic  templates which were uploaded by admin </t>
  </si>
  <si>
    <t>Verify whether the product is able to download</t>
  </si>
  <si>
    <t xml:space="preserve">Application should display the download option in quick view pop up and the product should show in downaload queue </t>
  </si>
  <si>
    <t>Verify whether respective product  description is displayed under description column in data grid</t>
  </si>
  <si>
    <t>Application should display the product description in select list page and quick view pop up</t>
  </si>
  <si>
    <t>Verify the 'my favourite' icon displayed or not in select templates page</t>
  </si>
  <si>
    <t>Application should display the my favourite icon in select template page</t>
  </si>
  <si>
    <t>Verify the application by click on Select butoon</t>
  </si>
  <si>
    <t>Application should navigates to personalization page</t>
  </si>
  <si>
    <t>TC#02</t>
  </si>
  <si>
    <t>Dynamic xmpie Template&gt; Personalize Page:</t>
  </si>
  <si>
    <t>Verify the personalization page.</t>
  </si>
  <si>
    <t>Verify whether uploaded preview  image is being saved and displayed in user flow or not</t>
  </si>
  <si>
    <t>Application should display the uploaded preview image in user flow</t>
  </si>
  <si>
    <t>Admin &gt;&gt; Manage products &gt;&gt; Dynamic Xmpie &gt;&gt;Personalization Wizard tab &gt;&gt; Crate personalise step and enable the dials
*Dynamic Products with Single Personalize Step</t>
  </si>
  <si>
    <t xml:space="preserve">Verify Personalization page </t>
  </si>
  <si>
    <t>System should display personalization page with below details:
1. Order item name and descriptions
2. Dials if exists
3. Step names with Hyperlinks,
4. Back button link
5. Preview Link
6. Save as Draft
7. Next button link</t>
  </si>
  <si>
    <t>Verify the application is displaying the personalization step or not</t>
  </si>
  <si>
    <t>Application should display personalization step as per admin settings</t>
  </si>
  <si>
    <t>test the application Displaying the admin created dials in personalization step</t>
  </si>
  <si>
    <t>application should display the dials in personalization step</t>
  </si>
  <si>
    <t>Verify the map dial in other than one personalize step</t>
  </si>
  <si>
    <t>Application should display selecte dmap dial image in all available personalize steps.</t>
  </si>
  <si>
    <t>Application should showkey values in the product</t>
  </si>
  <si>
    <t>Application should show the key values in personalization of the products</t>
  </si>
  <si>
    <t>To verify the shiiping address values in personalization page by selecting the shipping address values</t>
  </si>
  <si>
    <t>Aplication should show the shipping address values in proof after selecting the shipping address headers in personalization page</t>
  </si>
  <si>
    <t>Verify the application response by enter the required fields data.</t>
  </si>
  <si>
    <t>Application should allow to enter the data</t>
  </si>
  <si>
    <t xml:space="preserve">test the application response by enter the data in dials </t>
  </si>
  <si>
    <t>Application should allow to enter the data in dials</t>
  </si>
  <si>
    <t>Test the application response by click on next button without entering the data</t>
  </si>
  <si>
    <t xml:space="preserve">Application should display the validation if required fiels are exists </t>
  </si>
  <si>
    <t>Test the application response by click on next button</t>
  </si>
  <si>
    <t>Application should navigates to next page</t>
  </si>
  <si>
    <t>Dynamic template with more then 1 personalization steps</t>
  </si>
  <si>
    <t>Test the application is displaying the admin created personalization steps in personalization page</t>
  </si>
  <si>
    <t>Application should display the personalization steps</t>
  </si>
  <si>
    <t>Verify the application is displaying the personalization steps name as hyper link</t>
  </si>
  <si>
    <t xml:space="preserve">Applicaiaton should display the personalization step names as hyper linked </t>
  </si>
  <si>
    <t>test the application is displaying the admin enabled dials in dials in personalization steps</t>
  </si>
  <si>
    <t xml:space="preserve">Application should display the admin enabled dials in personalization steps </t>
  </si>
  <si>
    <t>Test the application by enter the data in dials and click on next button</t>
  </si>
  <si>
    <t>Application should allow to enter the data and navigates to next personalization step</t>
  </si>
  <si>
    <t>Test the application is displaying the admin enabled dials in Second personalization step</t>
  </si>
  <si>
    <t>Application should display the dials in personalization steps as per admin settings</t>
  </si>
  <si>
    <t>Test the application response by enter the data in dials</t>
  </si>
  <si>
    <t xml:space="preserve">Test the application response by click on personalization step name </t>
  </si>
  <si>
    <t>Application should navigates respective personalization step</t>
  </si>
  <si>
    <t>Verify wether the application is displaying the user entered data in dials when user perform back and fourth operations</t>
  </si>
  <si>
    <t>Application should display the user entered data in dials when perform back and fourth operations</t>
  </si>
  <si>
    <t>Verify the application response by click on next button</t>
  </si>
  <si>
    <t>Application should navigates to second personalization step</t>
  </si>
  <si>
    <t>Verify whether admin able to create product with enabling inline proof image and verify whether the option is reflecting in user flow(preview proof in personalization page)</t>
  </si>
  <si>
    <t>Application should display preview proof option in product personalization page</t>
  </si>
  <si>
    <t>Click preview proof.</t>
  </si>
  <si>
    <t>Click&lt;Preview Proof&gt;link</t>
  </si>
  <si>
    <t>Application should display the inline proof popup with updated dial values.</t>
  </si>
  <si>
    <t>Verify the application response by click on Enlarge proof link.</t>
  </si>
  <si>
    <t>Click&lt;Enlarge Proof&gt;link</t>
  </si>
  <si>
    <t>Application should enlarge the inline proof popup with updated values.</t>
  </si>
  <si>
    <t>Verify whether application is displaying the available providers</t>
  </si>
  <si>
    <t>Application should display the respective provider user flow when user select the respective product</t>
  </si>
  <si>
    <t>Enter the valid data in all required fields and click on Next button.</t>
  </si>
  <si>
    <t>Click&lt;Next&gt; Button</t>
  </si>
  <si>
    <t>Application should navigate to select list/quantity page.</t>
  </si>
  <si>
    <t>TC#03</t>
  </si>
  <si>
    <t>Select list/Quantity page:</t>
  </si>
  <si>
    <t>Application should display Select list/quantity page.</t>
  </si>
  <si>
    <t>Verify whether admin is able to create product by providing minimum quantity and verify whether user is able to place order with quantiy =&gt; minimum quantity</t>
  </si>
  <si>
    <t>Application should allow user to place the order with quantiy =&gt; minimum quantity for respective template</t>
  </si>
  <si>
    <t>P2</t>
  </si>
  <si>
    <t>Verify Product information in Select list page</t>
  </si>
  <si>
    <t>Application should display Product information in select list/quantity page successfully.</t>
  </si>
  <si>
    <t>Enter any of existing List Name in Search field</t>
  </si>
  <si>
    <t>Click&lt;search&gt; icon</t>
  </si>
  <si>
    <t>System should display the lists based on entered data in Search field</t>
  </si>
  <si>
    <t>Verify the Functionality of Back link</t>
  </si>
  <si>
    <t>Click &lt;Back&gt; link</t>
  </si>
  <si>
    <t>Application should navigate back to 'Personalize page'</t>
  </si>
  <si>
    <t>Select any of existing list by selecting check box, click on Next button</t>
  </si>
  <si>
    <t>Click on 'Enlarge proof' link</t>
  </si>
  <si>
    <t>Proof image inline pop up should get displayed.</t>
  </si>
  <si>
    <t>Click on 'Back' link</t>
  </si>
  <si>
    <t>Application should redirect to Select list/quantity page</t>
  </si>
  <si>
    <t>pass</t>
  </si>
  <si>
    <t>Click on 'Add to Cart' button</t>
  </si>
  <si>
    <t>Application should add that order to Cart and navigates to cart page</t>
  </si>
  <si>
    <t>Drop Shipment with List</t>
  </si>
  <si>
    <t>Verify whether application is able to enable the drop shipment with list in product info page</t>
  </si>
  <si>
    <t>Applciation shoud display the existing list in shipment with list and able to select the list and place an order</t>
  </si>
  <si>
    <t>Buy a List</t>
  </si>
  <si>
    <t>Verify whether we able to select the list from third  party provider</t>
  </si>
  <si>
    <t>Application should able to select the list from the third party providers</t>
  </si>
  <si>
    <t>Recipient DataSource</t>
  </si>
  <si>
    <t>verify whether the list able to select the for data source</t>
  </si>
  <si>
    <t>Application should showdata sources of the product while placing the order with list</t>
  </si>
  <si>
    <t>CRM List</t>
  </si>
  <si>
    <t>Verify whether the list able to select the CRM list</t>
  </si>
  <si>
    <t>Application should select the list from CRM</t>
  </si>
  <si>
    <t>EDDM List</t>
  </si>
  <si>
    <t>Verify whether the list able to select the EDDM  list</t>
  </si>
  <si>
    <t>Application should select the list from EDDM provider</t>
  </si>
  <si>
    <t>Request a List</t>
  </si>
  <si>
    <t>Verify whether the list is requesting from the providers</t>
  </si>
  <si>
    <t>Application should select the list from requesting providers</t>
  </si>
  <si>
    <t>Upload a list option</t>
  </si>
  <si>
    <t>Click on Next button without entering data in List name and Description.</t>
  </si>
  <si>
    <t>List name&lt;Text field&gt; without data
Description&lt;Text field&gt;
Click&lt;Next&gt; Button</t>
  </si>
  <si>
    <t>System should display validation as ' List Name is Required '</t>
  </si>
  <si>
    <t>Test the application response by selecting the Upload Type as Upload file.</t>
  </si>
  <si>
    <t>Application should display the upload file drag&amp;drop and browse file section.</t>
  </si>
  <si>
    <t>Test the application response by drag&amp;drop the file.</t>
  </si>
  <si>
    <t>Application should successfully upload the file and display the preview grid.</t>
  </si>
  <si>
    <t>Test the application response by browse the file.</t>
  </si>
  <si>
    <t>Verify preview details grid is displaying or not with selecting the any data source.</t>
  </si>
  <si>
    <t>Application should not display the preview grid details with out selecting the any data source.</t>
  </si>
  <si>
    <t>Verify preview details grid with Select &lt;Data Source&gt;, Do not select File.</t>
  </si>
  <si>
    <t xml:space="preserve">Enter data in List Name {Text field}
Description { Text Field}
</t>
  </si>
  <si>
    <t>Click on Back link</t>
  </si>
  <si>
    <t>Click&lt;Back&gt; link</t>
  </si>
  <si>
    <t>Application should redirect to select source section.</t>
  </si>
  <si>
    <t>Verify the duplicate records are removing or not based on criteria list.</t>
  </si>
  <si>
    <t>Application should successfully remove the duplicate records from list based on criteria list.</t>
  </si>
  <si>
    <t>Verify the application response by click on skip duplicates.</t>
  </si>
  <si>
    <t xml:space="preserve">Application should skip the remove duplicate records </t>
  </si>
  <si>
    <t>Test the application response by click on Next button.</t>
  </si>
  <si>
    <t>System should display Uploaded list under Lists data table</t>
  </si>
  <si>
    <t>Select a List and Click " Map Columns " link under Lists match header from Data table</t>
  </si>
  <si>
    <t>Without Selecting List variables, click &lt;Match List&gt; button</t>
  </si>
  <si>
    <t>System should not enable the matchlist button</t>
  </si>
  <si>
    <t>Verify whether application is displaying restricted field mapping column in delivery options when we enable restricted field mapping in list settings</t>
  </si>
  <si>
    <t>Application should not display field mapping in select list page in user flow</t>
  </si>
  <si>
    <t>Select List variables and click &lt;Match List&gt; button</t>
  </si>
  <si>
    <t>System should save those Matched data and Should close that inline Pop up</t>
  </si>
  <si>
    <t>Multiple sheets</t>
  </si>
  <si>
    <t>Try to select a file with Multiple sheets</t>
  </si>
  <si>
    <t xml:space="preserve">Application should display Preview of the file with Sheets panel. where in Sheets panel will contain the numbers of sheets which exists in selected file
</t>
  </si>
  <si>
    <t>Select any sheets from sheets panel</t>
  </si>
  <si>
    <t>Application should display the Preview of that selected sheet</t>
  </si>
  <si>
    <t>Enter list name and try to upload list</t>
  </si>
  <si>
    <t>Application should allow user to upload list with selected sheet</t>
  </si>
  <si>
    <t>Repeat above steps of upload list process of selecting.xlx file</t>
  </si>
  <si>
    <t>User should be able to upload list with .xlx format</t>
  </si>
  <si>
    <t>Repeat above steps of upload list process of selecting .xlsx file</t>
  </si>
  <si>
    <t>User should be able to upload list with.xlsx format</t>
  </si>
  <si>
    <t>Select List/Quantity&gt; Ship to My Address:</t>
  </si>
  <si>
    <t xml:space="preserve">Select Radio button as 'Ship to my Address' option </t>
  </si>
  <si>
    <t>In Select list/quantity page, It should display Enter Quantity label with minimum quantity of respective product.</t>
  </si>
  <si>
    <t>Print</t>
  </si>
  <si>
    <t>Verify the whether product name and description is displaying or not in select quantity page.</t>
  </si>
  <si>
    <t>Application should able to displayed the product information in select quantity page</t>
  </si>
  <si>
    <t>Verify the whether unit price and Minimum quantity is displaying or not under product description.</t>
  </si>
  <si>
    <t>Application should displayed the unit price details under product description.</t>
  </si>
  <si>
    <t>Verify the application is displaying the quantity box with minimum quantity</t>
  </si>
  <si>
    <t>Application should display the quantity box with minimum quantity</t>
  </si>
  <si>
    <t>Test the application by click on next button with out the data in quantity field</t>
  </si>
  <si>
    <t>Application should display the validation message as Quantity is required</t>
  </si>
  <si>
    <t>Test the application by enter the required quantity in quantity field</t>
  </si>
  <si>
    <t>Application should allow to enter the quantity in quantity field</t>
  </si>
  <si>
    <t>Download</t>
  </si>
  <si>
    <t>Verify admin provided display name is displaying or not</t>
  </si>
  <si>
    <t>Admin &gt;&gt; Product &gt;&gt; List Types &gt;&gt; Display name for download</t>
  </si>
  <si>
    <t>Application should display admin provided name instead of download option in select quantity page</t>
  </si>
  <si>
    <t>Verify the application is dispalying the Download Price in select list page</t>
  </si>
  <si>
    <t>Application should display the label with Download price value in select list/Quantity page</t>
  </si>
  <si>
    <t>Download/ Print</t>
  </si>
  <si>
    <t>Verify the application is displaying the Include Download label with check box</t>
  </si>
  <si>
    <t>Application should display the Include Download label with check box</t>
  </si>
  <si>
    <t>Test the application by select the check box and observer</t>
  </si>
  <si>
    <t>Application should select the check box and displays Download price</t>
  </si>
  <si>
    <t>Test the application by edit the quantity and navigate to next page by click on next button</t>
  </si>
  <si>
    <t>Application should allow to edit the quantity and navigates to  View summaru page</t>
  </si>
  <si>
    <t xml:space="preserve">Test the application response by click on Back Link </t>
  </si>
  <si>
    <t>Application should navigate to  previous page.</t>
  </si>
  <si>
    <t>Verify whether application allowinguser(admin) to set monthly limit for orders for corresponding product in admin and verify whether the set monthly limit functionality in user flow</t>
  </si>
  <si>
    <t>Application should allow user to place no of  orders for product based on set monthly limit value in admin</t>
  </si>
  <si>
    <t>Application should navigate to view summary page.</t>
  </si>
  <si>
    <t>TC#04</t>
  </si>
  <si>
    <t>View Summary page:</t>
  </si>
  <si>
    <t>Verify the view summary page.</t>
  </si>
  <si>
    <t>Verify the Product Information is ediatable or not.
Quantity
Delivered Method
Mailing Lists
List Name</t>
  </si>
  <si>
    <t>Application should not allow user to edit the product information in view summary pae.</t>
  </si>
  <si>
    <t>Verify the application response by selecting date as future date from date picker.</t>
  </si>
  <si>
    <t>If admin enable Show mail date
Shipping babsis as  "Order Basis"</t>
  </si>
  <si>
    <t>Application should allow user to select the date as future date from  date picker.</t>
  </si>
  <si>
    <t>Verify the application response by selecting the due date as current date from the date picker.</t>
  </si>
  <si>
    <t>Application should display the current date in disable mode.</t>
  </si>
  <si>
    <t>Verify whether application is displaying the postages in product and able the enable/disable the postages or not</t>
  </si>
  <si>
    <t>Application should display the postages in view summary page and able to select the postage and place the order</t>
  </si>
  <si>
    <t>P3</t>
  </si>
  <si>
    <t>Cost Centers</t>
  </si>
  <si>
    <t>Verify the application is displaying the Cost ceners in view summary page</t>
  </si>
  <si>
    <t>Item level cost centers enabled</t>
  </si>
  <si>
    <t>Application should displays the cost centers</t>
  </si>
  <si>
    <t>Test the application response by selecting the Cost centers</t>
  </si>
  <si>
    <t>Application should allow to select the cost centers</t>
  </si>
  <si>
    <t>ADD-Ons</t>
  </si>
  <si>
    <t>Verify the Add-ons are displaying or not.</t>
  </si>
  <si>
    <t>If admin enable the addons</t>
  </si>
  <si>
    <t>Application should display the Add-ons in view summary page</t>
  </si>
  <si>
    <t>Observe the application response by selecting the Addons</t>
  </si>
  <si>
    <t>Application should select the Add-Ons and addons price apply on Total</t>
  </si>
  <si>
    <t>Verify the item price and subtotal price are displaying or not.</t>
  </si>
  <si>
    <t xml:space="preserve">Application should display the item and sub total price </t>
  </si>
  <si>
    <t>Verify the Total Price in view summary page.</t>
  </si>
  <si>
    <t>Application should display the total pice in view summary page based on item price and quantity.</t>
  </si>
  <si>
    <t xml:space="preserve">Verify whether application is allowing admin to created product with "confirm proof" option  enanled for product in product info </t>
  </si>
  <si>
    <t>Application should display "I have verified the proof" check box for selection in view summary page and should allow user to add product cart only if it is checked.</t>
  </si>
  <si>
    <t xml:space="preserve">Click on Back </t>
  </si>
  <si>
    <t>Application should redirect to select list/Quantity page</t>
  </si>
  <si>
    <t>Application should display the inline proof popup.</t>
  </si>
  <si>
    <t>Verify whether admin able to create product with enabling " Turn on Resize PDF" option and verify whether the functionality  is reflecting in user flow or not</t>
  </si>
  <si>
    <t xml:space="preserve">Application should display the Resize PDF option with desired width &amp; height fields  when enabled in  view summary page </t>
  </si>
  <si>
    <t>Application should enlarge the inline proof popup.</t>
  </si>
  <si>
    <t>Verify whether Application is allowing admin to create product with "Enable Instant Download" enabled and verify whether the functionality is reflecting in user flow</t>
  </si>
  <si>
    <t>Application should display instant download option in quick view/select products page for static templates and in view summary for Dynamic templates</t>
  </si>
  <si>
    <t xml:space="preserve">Verify whether Application is allowing admin to create product with "Enable Instant Email" enabled and verify whether the functionality is reflecting in user flow </t>
  </si>
  <si>
    <t>Application should display instant email option in quick view/select products page for static templates and in view summary for Dynamic templates</t>
  </si>
  <si>
    <t xml:space="preserve">To verify whether the application is allowing user(admin) to create product by enabling "Hide Add To Cart" option in product info page and verify whether functionlity is implemented in user flow </t>
  </si>
  <si>
    <t xml:space="preserve">Application should not display hide add to cart option for respective product in view summary and should navigate to check out from view summary </t>
  </si>
  <si>
    <t>Verify the application response by click on Add to cart button.</t>
  </si>
  <si>
    <t>Click&lt;Add to cart&gt; Button</t>
  </si>
  <si>
    <t>Application should navigate to shopping cart page.</t>
  </si>
  <si>
    <t>TC#05</t>
  </si>
  <si>
    <t>Shopping Cart:</t>
  </si>
  <si>
    <t>Verify the shopping cart page.</t>
  </si>
  <si>
    <t>Application should display Item summary grid with the following details.
1.Thumbnail Image
2. Product name 
3. Quantity
4. Item Price
5. Shipping/Postage
6. Addon
7. Total Amount</t>
  </si>
  <si>
    <t>Verify the Total amount for the respective item in Item summary grid.</t>
  </si>
  <si>
    <t>Application should calculate the Total amount based on Quantity, Item price, Shipping/Postage, Add-ons prices.</t>
  </si>
  <si>
    <t>Verify weather Delete Selected button is enabled or not without selecting the any item from the shopping cart.</t>
  </si>
  <si>
    <t xml:space="preserve">Application should display Delete selected  button in disabled state. </t>
  </si>
  <si>
    <t>Test the application response by click on Delete selected button</t>
  </si>
  <si>
    <t>Select Item from Item summary grid
Click&lt;Delete&gt; Button</t>
  </si>
  <si>
    <t>Application should delete the selected items from the cart.</t>
  </si>
  <si>
    <t>Test the application response by click on Empty Cart Button</t>
  </si>
  <si>
    <t>Application should delete the all items from cart.</t>
  </si>
  <si>
    <t>Verify weather Delete icon is displaying or not for each item in Item summary grid.</t>
  </si>
  <si>
    <t>Click&lt;Delete&gt; icon</t>
  </si>
  <si>
    <t>Application should display the alert message pop with message as "Are you sure want to delete this item?" With close and confirm button.</t>
  </si>
  <si>
    <t>Test the application response by click on confirm button in alert message pop up.</t>
  </si>
  <si>
    <t>Alert message pop up
Click&lt; Confirm&gt; Button</t>
  </si>
  <si>
    <t>Application should delete the respective item from the cart page.</t>
  </si>
  <si>
    <t>Test the application response by click on Close Button in alert message popup.</t>
  </si>
  <si>
    <t>Alert message pop up
Click&lt;Close&gt; Button</t>
  </si>
  <si>
    <t>Application should close the item from the Alert message popup.</t>
  </si>
  <si>
    <t>Verify weather check out button is enabled or not without selecting the any item from the shopping cart.</t>
  </si>
  <si>
    <t xml:space="preserve">
Click&lt;Empty Cart&gt; Button</t>
  </si>
  <si>
    <t xml:space="preserve">Application should display checkout button in disabled state. </t>
  </si>
  <si>
    <t>Test the application response by click on checkout button with the select item from shopping cart.</t>
  </si>
  <si>
    <t>select Item from Item summary grid
Click&lt;Check&gt; Button</t>
  </si>
  <si>
    <t>Application should navigate to checkout page.</t>
  </si>
  <si>
    <t>TC#06</t>
  </si>
  <si>
    <t>Checkout page</t>
  </si>
  <si>
    <t>Verify the checkout page</t>
  </si>
  <si>
    <t>Verify the Order summary section in Shipping details.</t>
  </si>
  <si>
    <t>Application should display the Order summary section with following details.
Coupon code text box with Apply button
Subtotal Amount
Promotion amount
Handling Fee
Shipping
Tax(%)
Order Total</t>
  </si>
  <si>
    <t>Promotions:</t>
  </si>
  <si>
    <t>Verify the order total amount before promotion apply.</t>
  </si>
  <si>
    <t>Application should display order total amount based on Subtotal, Handling fee,shipping,Tax(%).</t>
  </si>
  <si>
    <t>Verify the order total amount after promotion apply.</t>
  </si>
  <si>
    <t>Enter valid promotion code Click&lt;Apply&gt; Button</t>
  </si>
  <si>
    <t>Application should display order total amount based on Subtotal, Handling fee,shipping,Tax(%) and applied promotion.</t>
  </si>
  <si>
    <t>Test the application response by click on Next Button.</t>
  </si>
  <si>
    <t>Application should navigate to Review Order section.</t>
  </si>
  <si>
    <t>TC#07</t>
  </si>
  <si>
    <t>Shipping Address:</t>
  </si>
  <si>
    <t>Shipping Basis&gt; Order basis:</t>
  </si>
  <si>
    <t>Test the application response by click on My Address option and edit the address</t>
  </si>
  <si>
    <t xml:space="preserve">Select&lt; My Address&gt;
</t>
  </si>
  <si>
    <t>Application should display the address in My address section with view details link and able to edit the address</t>
  </si>
  <si>
    <t>Verifu whether application is displaying the ship to store option in product info when  shipping basis as split ship and verify able to enable/disable the setting</t>
  </si>
  <si>
    <t>Application should should display the ship to store option in checkout page when admin enable ship to store option for product and for shipping product</t>
  </si>
  <si>
    <t>Test the application response by click on view details link in Select address section.</t>
  </si>
  <si>
    <t>Select Address
Click&lt; View Details&gt; link</t>
  </si>
  <si>
    <t>Application should display the view details popup.</t>
  </si>
  <si>
    <t>Global addresses</t>
  </si>
  <si>
    <t>Test the application response by click on Global Addresses option.</t>
  </si>
  <si>
    <t>Select&lt;Global Addresses&gt;</t>
  </si>
  <si>
    <t>Application should display the addresses under select My address dropdown.</t>
  </si>
  <si>
    <t>Verify the Address under Select address dropdown.</t>
  </si>
  <si>
    <t>Select&lt;Select Address&gt; Dropdown</t>
  </si>
  <si>
    <t>Application should display admin created shipping address under Select address dropdown.</t>
  </si>
  <si>
    <t>Test the application response by selecting the Address from the Select Address dropdown.</t>
  </si>
  <si>
    <t>Application should allow user to select the Address from the Select Address Dropdown.</t>
  </si>
  <si>
    <t>New address</t>
  </si>
  <si>
    <t>Test the application response by click on New Address</t>
  </si>
  <si>
    <t>Click&lt; + New Address&gt;</t>
  </si>
  <si>
    <t>Test the application response by click on Confirm button with all required fields</t>
  </si>
  <si>
    <t>Click&lt;Confirm) Button</t>
  </si>
  <si>
    <t>Application should save the entered values.</t>
  </si>
  <si>
    <t>Test the application response by checked the check box and click on confirm button</t>
  </si>
  <si>
    <t>Check&lt;save the address to profile address book&gt; Checkbox 
Click&lt; Confirm&gt; Checkbox</t>
  </si>
  <si>
    <t>Application should save details and those shipping details are available under my address section.</t>
  </si>
  <si>
    <t>Test the application response by click on cancel button</t>
  </si>
  <si>
    <t>Click&lt;Cancel&gt;</t>
  </si>
  <si>
    <t>Application should not save the entered values.</t>
  </si>
  <si>
    <t>Shipping Method:</t>
  </si>
  <si>
    <t>Verify weather shipping method dropdown is displaying or not.</t>
  </si>
  <si>
    <t>Select&lt;Shipping Method&gt; Dropdown</t>
  </si>
  <si>
    <t>Application should display the Shipping method dropdown with All custom/carrier shipping methods.</t>
  </si>
  <si>
    <t>Verify weather custom shipping methods are displaying or not.</t>
  </si>
  <si>
    <t>Application should display the all custom shipping methods under shipping method dropdown.</t>
  </si>
  <si>
    <t>Test the application response by selecting the custom shipping method.</t>
  </si>
  <si>
    <t xml:space="preserve">Enable custom shipping methods in shipping tab
</t>
  </si>
  <si>
    <t>Application should allow user to select the custom shipping method from the dropdown.</t>
  </si>
  <si>
    <t>Verify weather carrier shipping methods are displaying or not.</t>
  </si>
  <si>
    <t>Application should display the all carrier shipping methods under shipping method dropdown.</t>
  </si>
  <si>
    <t>Test the application response by selecting the carrier  shipping method.</t>
  </si>
  <si>
    <t xml:space="preserve">Enable carrier shipping methods in shipping tab: FEDEX, UPS, USPS
</t>
  </si>
  <si>
    <t>TC#08</t>
  </si>
  <si>
    <t>Shipping basis&gt; Split ship&gt;Single Address</t>
  </si>
  <si>
    <t>Case 1 :- My addresses</t>
  </si>
  <si>
    <t>Application should display the addresses under select My adress dropdown.</t>
  </si>
  <si>
    <t>Application should save details and those shpping details are available under my address section.</t>
  </si>
  <si>
    <t>Verify weather shipping metod dropdown is displaying or not.</t>
  </si>
  <si>
    <t>Application should display the Shipping method dropdown with All custom/carrier shipping metods.</t>
  </si>
  <si>
    <t>TC#09</t>
  </si>
  <si>
    <t>Shipping basis as Split Ship &gt;&gt;&gt; Multiple Addresses:</t>
  </si>
  <si>
    <t>Test the application response by selecting the multiple addresses.</t>
  </si>
  <si>
    <t>Application should allow user to select the multiple addresses.</t>
  </si>
  <si>
    <t>Test the application response by selecting the my addresses and observe</t>
  </si>
  <si>
    <t>Application should display the address in select address box, if the address present in user contact info</t>
  </si>
  <si>
    <t>Verify the carrier shippping methods are displaying or not</t>
  </si>
  <si>
    <t>Application should display the carrier shipping methods if we Enable the carrier shipping methods in general config &gt;&gt; shipping tab</t>
  </si>
  <si>
    <t>Verify whether application is displaying the active custom shipping methods displaying or not</t>
  </si>
  <si>
    <t>Application should display only active custom shipping methods with radio buttons, after selecting the my addresses</t>
  </si>
  <si>
    <t>Test the application response whether application is able to select the shipping method or not</t>
  </si>
  <si>
    <t>Application should select the shipping method and should add that shipping method price into shipping price in order summary</t>
  </si>
  <si>
    <t>Verify whether application is displaying the mail date or not</t>
  </si>
  <si>
    <t>Application should display the mail date</t>
  </si>
  <si>
    <t>Case 2 :- Global addresses</t>
  </si>
  <si>
    <t>Test the application response by selecting the Global addresses and observe</t>
  </si>
  <si>
    <t>Application should display the address in select address box, if we create address in admin -&gt; company -&gt; shipping addresses</t>
  </si>
  <si>
    <t>Application should display the available shipping methods if we Enable the carrier shipping methods in general config &gt;&gt; shipping tab</t>
  </si>
  <si>
    <t>p2</t>
  </si>
  <si>
    <t>Case 3 :- New address</t>
  </si>
  <si>
    <t>Test the application response by selecting the New address and observe</t>
  </si>
  <si>
    <t>Application should display the contact fields like Address1, address2, city, state, country, zip, email, phone and save the address to profile address book with checkbox and cancel and confirm buttons</t>
  </si>
  <si>
    <t>Test the application response by providing the data in the fields and check the save the address to profile address book and click confirm button and observe</t>
  </si>
  <si>
    <t>Application should save the data successfully and should save the addresses in the shipping addresses under user's my account icon</t>
  </si>
  <si>
    <t>Application should able to accept the user given data in checkout page</t>
  </si>
  <si>
    <t>Test the application response by modify the quantity textbox for the each shipping address.</t>
  </si>
  <si>
    <t>Application should allow user to modify the quantity textbox for the each shipping address.</t>
  </si>
  <si>
    <t>complex</t>
  </si>
  <si>
    <t>Test the appliation response by selecting the diffrent/same shipping method for the each shipping method.</t>
  </si>
  <si>
    <t>Application should allow user to select the different/same shiping methods for the each shipping method.</t>
  </si>
  <si>
    <t>p1</t>
  </si>
  <si>
    <t>Test the application response by clicking on Next button in billing page and observe</t>
  </si>
  <si>
    <t>Application should navigate to billing address page</t>
  </si>
  <si>
    <t>Billing details:</t>
  </si>
  <si>
    <t>Verify the Billing details section.</t>
  </si>
  <si>
    <t>Verify the application is displaying the Payment methods in payment methods drop down</t>
  </si>
  <si>
    <t>Application should display the payment methods as per admin settings</t>
  </si>
  <si>
    <t>Payment Mehod &gt;&gt; Billings</t>
  </si>
  <si>
    <t>Test the application response by selecting the billing from payment methods</t>
  </si>
  <si>
    <t>Application should allow to select the payment method</t>
  </si>
  <si>
    <t>Observe the application is displaying the PO number text filed</t>
  </si>
  <si>
    <t>If admin enable the PO number</t>
  </si>
  <si>
    <t>Application should display the PO number as per admin settings</t>
  </si>
  <si>
    <t xml:space="preserve">Test the application by enter the PO number and click on next button </t>
  </si>
  <si>
    <t>Application should allow to enter the PO number and navigates to review order page</t>
  </si>
  <si>
    <t>Credit Card</t>
  </si>
  <si>
    <t>Test the application response by selecing the Credit from payment metods</t>
  </si>
  <si>
    <t>Application shpuld allow user to select the Credir card</t>
  </si>
  <si>
    <t>Test the applicaotn is displaying the Credit card fields</t>
  </si>
  <si>
    <t>Verify the below details Card number,
CVV
Validity
Firstname, Last name</t>
  </si>
  <si>
    <t>Applicatio should display the credit card fields</t>
  </si>
  <si>
    <t>Test the application response by enter the valid data in credit card fields</t>
  </si>
  <si>
    <t>Application should allow to ener the credit card data</t>
  </si>
  <si>
    <t xml:space="preserve">Test the application response by click on  next button </t>
  </si>
  <si>
    <t>Application should navigates to review order page</t>
  </si>
  <si>
    <t>COOP-FUNDS</t>
  </si>
  <si>
    <t>Test the applicaiotn response selecytin the Coopfunds payment method</t>
  </si>
  <si>
    <t>Applicaito should select the COOPFUND as payment method</t>
  </si>
  <si>
    <t>Verify wether the application is displaying avaliable coopfund amountnor not</t>
  </si>
  <si>
    <t>Application should display the Avalilable coopfunds when admin adisable the "Hide Available Fund Balance to User"</t>
  </si>
  <si>
    <t>Review order</t>
  </si>
  <si>
    <t>Verify the Review order page.</t>
  </si>
  <si>
    <t>Check whether application is displaying the cost center text box or not</t>
  </si>
  <si>
    <t>Application should display the cost center text box</t>
  </si>
  <si>
    <t>Test the application response by entering the Add special instructions long text box  option.</t>
  </si>
  <si>
    <t>Application should allow user to enter the text into the Add special instructions long text box  option.</t>
  </si>
  <si>
    <t xml:space="preserve">Verify the shipping address and billing address </t>
  </si>
  <si>
    <t>Application should display the shipping address and billing address same as shipping details and billing details and with edit icon</t>
  </si>
  <si>
    <t xml:space="preserve">Verify whether application is displaying the "I've read and agree to the terms and conditions and privacy policy" with checkbox </t>
  </si>
  <si>
    <t>Application should display the submit button in enables state.</t>
  </si>
  <si>
    <t>Click on submit Button</t>
  </si>
  <si>
    <t>Click &lt; Submit&gt; Button</t>
  </si>
  <si>
    <t>Application should submit the order successfully.</t>
  </si>
  <si>
    <t xml:space="preserve">Verify the order status in view orders </t>
  </si>
  <si>
    <t>Application should display order details and status</t>
  </si>
  <si>
    <t>Approver</t>
  </si>
  <si>
    <t>Login as Approver and try to approve the order</t>
  </si>
  <si>
    <t>Application should be able to login to the approver and approve the order</t>
  </si>
  <si>
    <t>Verify whether proof is displaying or not</t>
  </si>
  <si>
    <t>Application should display the proof</t>
  </si>
  <si>
    <t>Production Supervisor</t>
  </si>
  <si>
    <t>Login as Production Supervisor and schedule the order</t>
  </si>
  <si>
    <t>Application should be able to login to the Production Supervisor and schedule the order</t>
  </si>
  <si>
    <t>Verify the proof is displaying or not</t>
  </si>
  <si>
    <t xml:space="preserve">Application should display the proof </t>
  </si>
  <si>
    <t>Verify whether application is able to display the provider dropdown and column mapping fields in product info page for presort</t>
  </si>
  <si>
    <t>Application should place the order successfully with delivery type as list and able to proceed with persort certified in ps role</t>
  </si>
  <si>
    <t>Click on Download Recipients link under Actions section.</t>
  </si>
  <si>
    <t>System should able to download the recipients list.</t>
  </si>
  <si>
    <t>Verify the orders Status has moved Scheduled to Fulfillment Ready</t>
  </si>
  <si>
    <t>Between the Schedule and Fulfillment Ready status, system should run the scheduler services and display status as 'Print File In Progress' and 'Print File is Ready'.</t>
  </si>
  <si>
    <t>Click on Re-Transfer Print File link under Actions when order status is Fulfillment Ready.</t>
  </si>
  <si>
    <t>System should able to move print file to available print locations</t>
  </si>
  <si>
    <t>Verify the orders Status, once status is Fulfillment Ready</t>
  </si>
  <si>
    <t>After Fulfillment Ready status, system should run the scheduler services and display status as 'FTP Copy in Progress' and 'FTP Completed'</t>
  </si>
  <si>
    <t xml:space="preserve">Verify the proof in print file and manifest files </t>
  </si>
  <si>
    <t>Application should create proof in  print and manifest file.</t>
  </si>
  <si>
    <t>Verify whether application is displaying the no of impressions text box and verify able to provide the text and save the given text or not</t>
  </si>
  <si>
    <t>Applicatio should able to place the order successful and should display the given content in xml manifest file</t>
  </si>
  <si>
    <t>Verify whether application is allowing admin to created product with "Order Release Approval Required" option enanled for product in product info .</t>
  </si>
  <si>
    <t xml:space="preserve">Application should allow user to place the order successfully and should generate print and manifest files only when </t>
  </si>
  <si>
    <t>Update the Shipment Tracking Details and  when order status is Fulfillment Ready.</t>
  </si>
  <si>
    <t>System should update the shipment tracking details</t>
  </si>
  <si>
    <t>Test the application by clicking on Mark As Delivered link once shipment tracking details are updated</t>
  </si>
  <si>
    <t>System should Deliver the order successfully to mentioned shipping Address</t>
  </si>
  <si>
    <t>Test Cases</t>
  </si>
  <si>
    <t>Test Steps</t>
  </si>
  <si>
    <t>Page Name</t>
  </si>
  <si>
    <t>Options</t>
  </si>
  <si>
    <t>Expected in Admin</t>
  </si>
  <si>
    <t>Expected in User</t>
  </si>
  <si>
    <t>Status</t>
  </si>
  <si>
    <t>Comments</t>
  </si>
  <si>
    <t>Product Information</t>
  </si>
  <si>
    <t>Name</t>
  </si>
  <si>
    <t>Need to allow and save the given product/template name</t>
  </si>
  <si>
    <t>Need to display the given product/template name</t>
  </si>
  <si>
    <t>Code</t>
  </si>
  <si>
    <t>Need to allow and save the given product code.</t>
  </si>
  <si>
    <t>Short Description</t>
  </si>
  <si>
    <t>Application should allow user to save details with short description and should display the content under short description column in data grid</t>
  </si>
  <si>
    <t>Description</t>
  </si>
  <si>
    <t>Application should save the given product description in product info page  and  should display under description column in data grid corresponding to product</t>
  </si>
  <si>
    <t>Category</t>
  </si>
  <si>
    <t>Verify whether application is displaying all available categories in category drop down and allowing user to map the product to category.</t>
  </si>
  <si>
    <t>Application should display the mapped categories for the template in product info page and in categories page</t>
  </si>
  <si>
    <t>Application should display the product uder mapped cartegories</t>
  </si>
  <si>
    <t>Keyword(s)</t>
  </si>
  <si>
    <t>Application should display the saved values under key words field</t>
  </si>
  <si>
    <t>Verify application is dispaying the options under product type dropdown and allowing user to select the option</t>
  </si>
  <si>
    <t>Application should display the additional required options based on the selected product type</t>
  </si>
  <si>
    <t>Application should implement the selected product type flow in user</t>
  </si>
  <si>
    <t>Verify application is dispaying the options under process  type dropdown based on selected product type.</t>
  </si>
  <si>
    <t>Application should select &amp; save the selected process type option and should display additional options/settings corresponnding to selected process type</t>
  </si>
  <si>
    <t>Application should implement the selected process type flow in user</t>
  </si>
  <si>
    <t>Effective Date</t>
  </si>
  <si>
    <t>Application should allow user to select and should save the selected effective date.</t>
  </si>
  <si>
    <t>Media</t>
  </si>
  <si>
    <t>Thumbnail Image</t>
  </si>
  <si>
    <t>Verify whether uploaded thumbnail image is being saved and displayed in admin/user</t>
  </si>
  <si>
    <t>Application should allow user to upload/remove thumbnail image</t>
  </si>
  <si>
    <t>Application should display the uploaded thumbnail image in user flow during order process</t>
  </si>
  <si>
    <t>Preview Image</t>
  </si>
  <si>
    <t>Verify whether uploaded preview  image is being saved and displayed in user flow</t>
  </si>
  <si>
    <t>Application should allow user to upload/remove preview image</t>
  </si>
  <si>
    <t>Application should display the uploaded preview image in user flow(personalize page)</t>
  </si>
  <si>
    <t>Production Settings</t>
  </si>
  <si>
    <t>Provider</t>
  </si>
  <si>
    <t>Application should display the chili, xmpie etc., providers in providers dropdown</t>
  </si>
  <si>
    <t>VDP Account</t>
  </si>
  <si>
    <t>Verify whether application is displaying the available vdp account when admin select the provider</t>
  </si>
  <si>
    <t>Application to retrieve the Accounts from the XMPIE uProduce server. The values will be displayed in “VDP Account” dropdown
Select an account from the VDP Account dropdown</t>
  </si>
  <si>
    <t>Application should show proof related to VDP</t>
  </si>
  <si>
    <t>VDP Campaign</t>
  </si>
  <si>
    <t>Verify whether application is displaying the available vdp campaign when admin select the vdp account</t>
  </si>
  <si>
    <t>Application to retrieve the Campaigns for the selected account. The values will be displayed in “VDP Campaign” dropdown
Select a Campaign from the VDP Campaign dropdown</t>
  </si>
  <si>
    <t>VDP Document</t>
  </si>
  <si>
    <t>Verify whether application is displaying the available vdp document when admin select the vdp campaign</t>
  </si>
  <si>
    <t>Application should to retrieve the documents for the selected campaign. The values will be displayed in “VDP Document” dropdown
 Select a document from the VDP Document dropdown</t>
  </si>
  <si>
    <t>Verify whether applciation is displaying the production settings drop down and able to select the production settings</t>
  </si>
  <si>
    <t>Application should able to select the production settings from the dropdown</t>
  </si>
  <si>
    <t>Application should generate the print files with selected print format in production settings</t>
  </si>
  <si>
    <t>Proof Format Type</t>
  </si>
  <si>
    <t>Verify whether application is able to select the pdf/jpg proof format type</t>
  </si>
  <si>
    <t>Application should able to select the pdf/jpg proof format type</t>
  </si>
  <si>
    <t>Application should display the corresponding proof format in user flow
The proof format generated will be based on this selection. For a PDF version, you can select the High or Low resolution. For a JPG version, you can enter the DPI resolution.</t>
  </si>
  <si>
    <t>Use Merchandise/Product Option</t>
  </si>
  <si>
    <t>Verify whether application is able to select the merchandise options and displaying varients option after saving product</t>
  </si>
  <si>
    <t>Application should save the merchandise options and display the varients option after saving product</t>
  </si>
  <si>
    <t>Application should display the merchandise options</t>
  </si>
  <si>
    <t>Fulfillment Location</t>
  </si>
  <si>
    <t>Verify whether application is able to select the fulfillment location</t>
  </si>
  <si>
    <t>Application should able to select the fulfillment location</t>
  </si>
  <si>
    <t>Application should place the order successfully and able to display the print files in respective fulfillment location</t>
  </si>
  <si>
    <t>Proof Quality</t>
  </si>
  <si>
    <t>Verify whether application is able to select the high/low option in drop down</t>
  </si>
  <si>
    <t>Applicaion should able to select the high or low in dorp down</t>
  </si>
  <si>
    <t>Application should display the proof with setup selected in the proof qualtity - (high / low )</t>
  </si>
  <si>
    <t>Update Production Parameters</t>
  </si>
  <si>
    <t>Verify whether application is able to select the parameters of VDP or website</t>
  </si>
  <si>
    <t>Application should able to select the parameters</t>
  </si>
  <si>
    <t>None – if there are no parameters
Website – if the parameters are setup in AccuConnect
VDP – if the parameters are stored in XMPIE. if this option is selected  you will need to enter the VDP number (JOB ID) that is generated for the PRINT file in XMPIE.</t>
  </si>
  <si>
    <t>Thumbnail Page Number</t>
  </si>
  <si>
    <t>Verify whether application is displaying the numeric box for thumbnail page number</t>
  </si>
  <si>
    <t>Application should able to provide the numerics in numeric box for thumbnail page number</t>
  </si>
  <si>
    <t>Application should will be displayed in Select product and other pages in the mail ordering process</t>
  </si>
  <si>
    <t>Enable Offset Print</t>
  </si>
  <si>
    <t>Verify whether application is able to enable the offset print option</t>
  </si>
  <si>
    <t>Application should enable the offset print opiton</t>
  </si>
  <si>
    <t>Application should place the order successfully and will generate only 1 print file</t>
  </si>
  <si>
    <t>Enable Quick Download</t>
  </si>
  <si>
    <t>Application should able to select the option and save the info</t>
  </si>
  <si>
    <t>Application should display the download option in quick view pop up and the product should show in downaload queue 
If the Product has a download for user reference and is customizable or can be ordered, select the “Personalize/Quick download” option from the Additional Options dropdown.</t>
  </si>
  <si>
    <t>Split Job Type</t>
  </si>
  <si>
    <t>Verify whether the print file spliting or not after selecting the option</t>
  </si>
  <si>
    <t>Application should able to provide the numerics in numeric box for Split job</t>
  </si>
  <si>
    <t>Application split the PRINT job in XMPIE, then from the “Split Job Type” dropdown select:
Batch – if you want to create X number of batches
Records per Batch – If only X number of records can print per batch</t>
  </si>
  <si>
    <t>Select Print/Finish Template</t>
  </si>
  <si>
    <t>Verify the print/finish options are showing in the Print popup of products</t>
  </si>
  <si>
    <t>Application is able to select the Print/finish templates and also admin can make the customazation template</t>
  </si>
  <si>
    <t>The print'fisnih templates options or data should show in print popup</t>
  </si>
  <si>
    <t>Select key</t>
  </si>
  <si>
    <t xml:space="preserve">Application should able to select the key values </t>
  </si>
  <si>
    <t>Application append any of the variables to the Print file, select the variable from the Select Key. This option will also have to be setup in the Print file format in the Web Config file.</t>
  </si>
  <si>
    <t>Postage Options</t>
  </si>
  <si>
    <t>Application is able to display the postages and able to enable / disable the settigns</t>
  </si>
  <si>
    <t>Additional Settings</t>
  </si>
  <si>
    <t>Minimum Quantity</t>
  </si>
  <si>
    <t>Application should allow user(admin) to enter and save product with minimum quantity</t>
  </si>
  <si>
    <t>Maximum Quantity</t>
  </si>
  <si>
    <t>Verify whether admin is able to create product by providing maximum quantity andverify whether user is able to place the order with quantiy &lt;= minimum quantity</t>
  </si>
  <si>
    <t>Application should allow user(admin) to enter and save product with maximum quantity</t>
  </si>
  <si>
    <t>Application should allow user to place the order with quantiy &lt;= maximum quantity for respective template</t>
  </si>
  <si>
    <t>Lead Time In Days</t>
  </si>
  <si>
    <t>Verify whether application is displaying and  allowing to create product with lead time in days</t>
  </si>
  <si>
    <t>Application should allow admin to set lead time in days for the template.</t>
  </si>
  <si>
    <t>Application should place order for template/product with lead time in days</t>
  </si>
  <si>
    <t>Usage Mode Type</t>
  </si>
  <si>
    <t>Verify whether application is  displaying the product usage mode type options in the usage mode drop down and  allowing admin to use template as per selected mode type</t>
  </si>
  <si>
    <t>Application should display options and allow user(admin) to select the usage mode type options for the respective product</t>
  </si>
  <si>
    <t>Application should able to place the order with usage mode type as regular and able to move the status to fulfillment ready state</t>
  </si>
  <si>
    <t>Selling Unit Of Measurement</t>
  </si>
  <si>
    <t xml:space="preserve">To verify whether the application is allowing user(admin) to create product with selected unit of measurement along with its  value and to verify whether the selling unit of measurement value is displayed along with item name in the user flow </t>
  </si>
  <si>
    <t>Application should allow admin to create product with elected unit of measurement along with its  value</t>
  </si>
  <si>
    <t xml:space="preserve">Application should display selected selling unit of measurement along with item name in the user flow </t>
  </si>
  <si>
    <t>Use Shipping Address in Personalization</t>
  </si>
  <si>
    <t>Application should show the shipping address data in dropdown</t>
  </si>
  <si>
    <t>Enable Ship to Store</t>
  </si>
  <si>
    <t>Application should able to display the ship to store option in product info when  shipping basis as split ship and able to enable/disable the setting</t>
  </si>
  <si>
    <t>Asset Level</t>
  </si>
  <si>
    <t>Verify whether all the created assest levels are displyed under asset level drop down for selection in product info page</t>
  </si>
  <si>
    <t>Application should display all the asset levels and should save,map the product to selected asset level</t>
  </si>
  <si>
    <t>Application should display selling unit of measurement associated with te product in user flow</t>
  </si>
  <si>
    <t>Inline Proof</t>
  </si>
  <si>
    <t>Application should allow admin to to create product with enabling inline proof image proof option</t>
  </si>
  <si>
    <t>Confirm Proof</t>
  </si>
  <si>
    <t xml:space="preserve">Application should display the confirm proof option in Additional settings in product ifo page and allow admin to save product detail by enabling/disabling the option </t>
  </si>
  <si>
    <t>Featured Product</t>
  </si>
  <si>
    <t>Verify whether application is allowing admin to created product with "Featured product" option enanled for product in product info .</t>
  </si>
  <si>
    <t xml:space="preserve">Application should display the "Featured product" option in Additional settings in product ifo page and allow admin to save product detail by enabling/disabling the option </t>
  </si>
  <si>
    <t xml:space="preserve">Application should display respective product under featured products section in user home page </t>
  </si>
  <si>
    <t>Order Release Approval Required</t>
  </si>
  <si>
    <t xml:space="preserve">Application should display the "Order Release Approval Required" option in Additional settings in product ifo page and allow admin to save product detail by enabling/disabling the option </t>
  </si>
  <si>
    <t>Exclude from Budget</t>
  </si>
  <si>
    <t>verify the product is excluded or not if product is in the list</t>
  </si>
  <si>
    <t>Application is should able to select the price the product budget</t>
  </si>
  <si>
    <t>Application should show validation if product price is increase the busget</t>
  </si>
  <si>
    <t>Emulate Only</t>
  </si>
  <si>
    <t>Verify whether admin able to create product with enabling emulate only option and verify whether the functionality  is reflecting in user flow or not</t>
  </si>
  <si>
    <t>Application should allow admin to to create product with enabling emulate  option</t>
  </si>
  <si>
    <t>Application should display mentioned product only when we emulate to user from admin/super admin only Order Release Approval is performed in Ps for corresponding product</t>
  </si>
  <si>
    <t>Monthly Limit</t>
  </si>
  <si>
    <t>Application should allow admin to create product by enabling and providing monthly limit value in product details</t>
  </si>
  <si>
    <t>Map Direction</t>
  </si>
  <si>
    <t>Application able to map the dail for map direction</t>
  </si>
  <si>
    <t>Application uses a 2 way map , select one of the following options
Recipient Address – if the FROM address is from the recipient list
Entered Address – if the FROM address is entered in the personalization page</t>
  </si>
  <si>
    <t>Turn on Resize PDF</t>
  </si>
  <si>
    <t>Application should display the "Turn on Resize PDF" option and should display the max/min height , width fields when enabled and should be able save the product details with the provided values.</t>
  </si>
  <si>
    <t>Enable Instant Download</t>
  </si>
  <si>
    <t xml:space="preserve">Verify whether Application is allowing admin to create product with "Enable Instant Download" enabled and verify whether the functionality is reflecting in user flow </t>
  </si>
  <si>
    <t xml:space="preserve">Application should display "Enable Instant Download" option under additional settings in product info and allow user to save the product details when enabled </t>
  </si>
  <si>
    <t>Enable Instant Email</t>
  </si>
  <si>
    <t xml:space="preserve">Application should display  "Enable Instant Email" option under additional settings in product info and allow user to save the product details when enabled </t>
  </si>
  <si>
    <t>Hide Add To Cart</t>
  </si>
  <si>
    <t xml:space="preserve">Application should display "Hide add to cart" option under additional settings in product info and allow user to save the product details when enabled </t>
  </si>
  <si>
    <t>Landing Page Option</t>
  </si>
  <si>
    <t>Verify whether application is allowing admin to create landing page type of template based on the selected provider and to verify whether able to map the landing page to Products</t>
  </si>
  <si>
    <t>Application should allow user (admin) to create landing page based on selected provider type and process type.</t>
  </si>
  <si>
    <t>Application should show the landing page before the selecting the template
if we select Landing page option as Required/Optional then it will display Landing page products link to map LP products to DC product, Landing Page URL filed and Landing Page Key Filed to reflect URL framing in user flow.</t>
  </si>
  <si>
    <t>Pricing</t>
  </si>
  <si>
    <t>Minimum Price</t>
  </si>
  <si>
    <t>Verify whether application is displaying the minimun price numeric box in product info page and verify by providing the value</t>
  </si>
  <si>
    <t>Application should display the minimun price numeric box in product info page and able to provide the value</t>
  </si>
  <si>
    <t>Application should able to display the minimum price when product price is less than the minimum price
Base Price is the product minimum product to submit the order in user flow, this price should be taken into consideration when the order subtotal(Product price*quantity) is lesser than base price. other wise product price should taken into consideration.</t>
  </si>
  <si>
    <t>Price Markup Percent</t>
  </si>
  <si>
    <t>To verify whether able to create product with Price Mark up percent and to verify the functionality in user flow</t>
  </si>
  <si>
    <t>Application should dislay product mark up percent numerical box in Pricing section in product info page and should allow user to provide value in the field</t>
  </si>
  <si>
    <t>Application should apply  the markup on the item price and should show the item price with added markup price before deriving the total price of the item, i.e. before multiplying with the quantity.</t>
  </si>
  <si>
    <t>Pricing Options</t>
  </si>
  <si>
    <t>Verify whether applciation is able to select the price code / product level pricing in product info and able to setup the price or not</t>
  </si>
  <si>
    <t>Application is able to select the price code/ product level pricing in product info page and able to setup the price</t>
  </si>
  <si>
    <t>Application shold display the select price in userflow</t>
  </si>
  <si>
    <t>Exempt from Taxes</t>
  </si>
  <si>
    <t xml:space="preserve">Verif whether Application is displaying Exmpet From taxes option in Pricing section in product info page and should allow user(admin) to create product /save product details when Exempt taxes in enabled </t>
  </si>
  <si>
    <t>Application should display allow(admin) to create product with Exempt from taxes option enabled</t>
  </si>
  <si>
    <t>Application should not calculate tax for the  product  in check out page when Taxes calculation enabled in the orgunit</t>
  </si>
  <si>
    <t>Exclude from Shipping Method/Rate</t>
  </si>
  <si>
    <t>To verify whether able to create product with "Exclude from Shipping Method/Rate" enabled and to verify verify the functionality in user flow</t>
  </si>
  <si>
    <t xml:space="preserve">Application should display "Exclude from Shipping Method/Rate" option under pricing product info page and shouls allow admin to save pricing details by enabling/disabling it for respective product </t>
  </si>
  <si>
    <t>Application system should not include the shipping price/rate for products that are marked as “Exclude from Shipping Rate” in shipping details in check out page</t>
  </si>
  <si>
    <t>Verify whether application is displaying the addon's in product info page and able to select the checkbox for addon's setup</t>
  </si>
  <si>
    <t>Application should display the addon's in product info and able to select the checkbox</t>
  </si>
  <si>
    <t>Application displaying the admin selected addon's and calculate the price in view summary page</t>
  </si>
  <si>
    <t>Custom Attributes</t>
  </si>
  <si>
    <t>Additional Information Items</t>
  </si>
  <si>
    <t>Verify whether application is displaying the addition information items text box and verify able to provide the text and save the given text or not</t>
  </si>
  <si>
    <t>Application should able to provide the text in addition information item text and able to save the given text</t>
  </si>
  <si>
    <t>No Of Impressions</t>
  </si>
  <si>
    <t>Application should able to provide the text in no of impressions text and able to save the given text</t>
  </si>
  <si>
    <t>Delivery Options</t>
  </si>
  <si>
    <t>Select From Existing List</t>
  </si>
  <si>
    <t>Verify whether application is able to enable the select from existing list in product info page</t>
  </si>
  <si>
    <t>Application should able to enable the select from existing list in product info page</t>
  </si>
  <si>
    <t>Applciation shoud display the existing list as mailing list and able to select the list and place an order</t>
  </si>
  <si>
    <t>Application should able to enable the drop shipment with list in product info page</t>
  </si>
  <si>
    <t>Upload a New List</t>
  </si>
  <si>
    <t>Verify whether application is able to enable the upload a new list in product info page</t>
  </si>
  <si>
    <t>Application should able to enable the upload a new list in product info page</t>
  </si>
  <si>
    <t>Applciation shoud display the upload list option and able to upload the list and able to select the list and place an order</t>
  </si>
  <si>
    <t>Application should able to select the proider of buy a list</t>
  </si>
  <si>
    <t>Application should able to select the data source</t>
  </si>
  <si>
    <t>Application can able to select the records in select list page from the XMPIE provider.</t>
  </si>
  <si>
    <t>Application should able to select the list from CRM data</t>
  </si>
  <si>
    <t>Application can able to select the list from CRM provider by authenticating the application and with the available list user can place the order.</t>
  </si>
  <si>
    <t>Application should able to select the list from  data EDDM</t>
  </si>
  <si>
    <t>Application should able to select the request a list</t>
  </si>
  <si>
    <t>Shipping Options</t>
  </si>
  <si>
    <t>Verify whether application is able to enable the shipping options in product info page</t>
  </si>
  <si>
    <t>Application should able to enable the shipping options in product info page</t>
  </si>
  <si>
    <t xml:space="preserve">Applciation shoud display the shipping basis with minimam qty as 1 and ablr to place an order
In this we have print, download and both download and print options available for the product. Download price should enter separately for the download process and should reflect same in </t>
  </si>
  <si>
    <t>Apply Print Quantity</t>
  </si>
  <si>
    <t>Verify the print quantity is single or entired full qunatity</t>
  </si>
  <si>
    <t>Application should able the select the option of the print qunatity</t>
  </si>
  <si>
    <t>Application should display the qunatity for the product</t>
  </si>
  <si>
    <t>List Certification Required</t>
  </si>
  <si>
    <t>Verify whether applciation is able to enable/disable the list certification required option in list settings phase</t>
  </si>
  <si>
    <t>Application should able to enable or disable the list certification required option in product info page</t>
  </si>
  <si>
    <t>Application should able to place the order with delivery mthod as list and able to certified the list automatiocally
If the OrgUnit is setup for Auto Scheduling and if you require a list certification for a list based product like CASS validation or NCOA, select the “List Certification Required” checkbox. The item will have to be manually scheduled once the list certifications are completed.</t>
  </si>
  <si>
    <t>Include User Seed Data</t>
  </si>
  <si>
    <t>verify whether user seed data is include for the product</t>
  </si>
  <si>
    <t>Application should include the seed data also along with list and map the  Contact Fields to seed data</t>
  </si>
  <si>
    <t>Application should able to show the seed data list along with list product</t>
  </si>
  <si>
    <t>Include Master Seed List</t>
  </si>
  <si>
    <t>verify whether matter seed list is include for the product</t>
  </si>
  <si>
    <t>Application should include the mater seed data and Map the Fields</t>
  </si>
  <si>
    <t>Application should able to show the mater seed data list for the products</t>
  </si>
  <si>
    <t>Enable Sample Piece Option</t>
  </si>
  <si>
    <t>Verify whether the sample piece options of address or unaddress are showing</t>
  </si>
  <si>
    <t>Application should able to select the any option like address or unaddress</t>
  </si>
  <si>
    <t>Application should genearte the Sample piece print file along with mail file</t>
  </si>
  <si>
    <t>Enable QR Code Tracking</t>
  </si>
  <si>
    <t xml:space="preserve">to verify whether application is able to create products with QR code tracking and to verify its functionality in user flow </t>
  </si>
  <si>
    <t>Application should dispay "Enable QR code tracking" option in list options section and should enable  QR code tracking for prodcuts containing QR Code type dials .</t>
  </si>
  <si>
    <t>Application should display mapped QR code type dials in user personalization page and should allow user to enter URL for QR code generation and save the URL for that dial.</t>
  </si>
  <si>
    <t>OutPutfilename Field</t>
  </si>
  <si>
    <t>verify whether Template Column avlues are showing for the outputfilename field</t>
  </si>
  <si>
    <t>Application should display the schema values fields for the outputfile</t>
  </si>
  <si>
    <t>Applictionby mapping any recipient variable and selected production parameters have "Separate output file per Record" enabled, in end user flow output file the mapped recipient filed data will over ride with the output file name convention in web.config file. (If we mapped City filed to the Output filename Field in end output city filed data updated with output file name for each record with record number at last Ex:c2333_o767642_ITEM767641_1)</t>
  </si>
  <si>
    <t>Sequence Number</t>
  </si>
  <si>
    <t>Verify the Sequence number mapped reipient  field in the downladed file</t>
  </si>
  <si>
    <t xml:space="preserve">Application should should sheme and able to select the Sequence number </t>
  </si>
  <si>
    <r>
      <t>If we enable this option by mapping any recipient</t>
    </r>
    <r>
      <rPr>
        <b/>
        <sz val="11"/>
        <color theme="1"/>
        <rFont val="Calibri"/>
        <family val="2"/>
        <scheme val="minor"/>
      </rPr>
      <t> </t>
    </r>
    <r>
      <rPr>
        <sz val="11"/>
        <color theme="1"/>
        <rFont val="Calibri"/>
        <charset val="134"/>
        <scheme val="minor"/>
      </rPr>
      <t>variable, in end user flow output file mapped recipient data will over ride with entered quantity. (If we mapped count dial with sequential mapping in end output file count dial data replaced with sequential number as per entered records in user flow, if we enter quantity as "10", the in records it will display data as 1,2,3 etc.)</t>
    </r>
  </si>
  <si>
    <t>Delivery Option</t>
  </si>
  <si>
    <t>Verify whether application is allowing admin create product by selecting different delivery option .</t>
  </si>
  <si>
    <t>Application should allow admin(user to create product by enabling different delivery option which icludes shipping options/list options etc</t>
  </si>
  <si>
    <t>Application should display the enabled delivery options in select list for selection and allow user to place order by selecting the options</t>
  </si>
  <si>
    <t>Restricted Field Mapping</t>
  </si>
  <si>
    <t>Application should displaying restricted field mapping column in delivery options when we enable restricted field mapping in list settings</t>
  </si>
  <si>
    <t>Order/Batch Options &gt;&gt; OrderNumber</t>
  </si>
  <si>
    <t>verify whether Template Column avlues are showing for the order number which is used for batching</t>
  </si>
  <si>
    <t>Application able to select Template Column for the product</t>
  </si>
  <si>
    <t>Application should show the value order number  value from list when order is in batch</t>
  </si>
  <si>
    <t>Order/Batch Options &gt;&gt; ItemId</t>
  </si>
  <si>
    <t>verify whether Template Column avlues are showing for the itemid which is used for batching</t>
  </si>
  <si>
    <t>Application should  show the value itemid value from list when order is in batch</t>
  </si>
  <si>
    <t>Order/Batch Options &gt;&gt; ItemQuantity</t>
  </si>
  <si>
    <t>verify whether Template Column avlues are showing for the item qunatity which is used for batching</t>
  </si>
  <si>
    <t>Application should show the value item qunatity  value from list when order is in batch</t>
  </si>
  <si>
    <t>Presort Options</t>
  </si>
  <si>
    <t>Application should display the providers in dropdown and able to map the fields in presort field mapping in product info page</t>
  </si>
  <si>
    <t>Application should place the order successfully with delivery type as list and able to proceed with persort certified in ps role
Presort Templates, Presort Data Columns and Presort Use Defaults are values that are returned from Satori/Accu Zip depends on selected provider in manage org unit.
Select the template, columns and data columns and map the data columns,according to the mapping in the production supervisor role list certification will occur and the result related to certification is available in Zip file(Error list,success list and Mail.Dat zipfile).
If you want the “Presort Use defaults” values then select this check box, if we want to enter the values to be selected from AccuConnect, enter the values in each and every box.
For NCOA we dont have separate template mapping it will consider from Presort template</t>
  </si>
  <si>
    <t>Automation Coverage</t>
  </si>
  <si>
    <t>NE</t>
  </si>
  <si>
    <t>Verify the Pricing in the view summary page</t>
  </si>
  <si>
    <t>TD</t>
  </si>
  <si>
    <t>Application should display valid price calculations in view summary page.</t>
  </si>
  <si>
    <t>1.Validate the below Prices
&gt; Quantity
&gt; Item Price
&gt; SubTotal
&gt; Base price
&gt; Addons Price
&gt; Discount
&gt; Total Price</t>
  </si>
  <si>
    <t>Verify the Item summary grid</t>
  </si>
  <si>
    <t>Reports&gt;ViewOrders</t>
  </si>
  <si>
    <t>Verify whether reports module is displaying or not 
under menubar</t>
  </si>
  <si>
    <t>Application should display the reports module</t>
  </si>
  <si>
    <t>Test the application response by selecting the reports 
under menubar</t>
  </si>
  <si>
    <t>Select&lt;Reports&gt;</t>
  </si>
  <si>
    <t>Application should select the reports and 
display the vieworders label</t>
  </si>
  <si>
    <t xml:space="preserve">Test the application response by entering the order number </t>
  </si>
  <si>
    <t>Ex: 630</t>
  </si>
  <si>
    <t>Application should display the respective searched order details in the  order grid</t>
  </si>
  <si>
    <t>View Order Details Page</t>
  </si>
  <si>
    <t>Test the application response by clicking on view order details page option /Click on order Number.</t>
  </si>
  <si>
    <t>Application should display the view order details page with below mentioned right side bars.
1. Order Info.
2. Products.
3. Shipping</t>
  </si>
  <si>
    <t>Verify whether order number is displaying or not.</t>
  </si>
  <si>
    <t>Application should display the order number at the top of right side bar.</t>
  </si>
  <si>
    <t>View Order Details Page&gt;&gt; Order Info&gt;&gt; Billing Info</t>
  </si>
  <si>
    <t>Verify whether Billing Address is displaying or not.</t>
  </si>
  <si>
    <t>Application should display the respective order billing address in order information in right side bar.
Billing Address Details:
1. Address1
2. Address2
3. City 
4. State
5. Country
6. Zip
7. Email
8. Phone Number</t>
  </si>
  <si>
    <t>Verify whether Billing Address details are displaying the sequence order  or not.</t>
  </si>
  <si>
    <t>Application should display the order billing address details  in sequence order under billing info section in right side bar.</t>
  </si>
  <si>
    <t>Verify whether Payment type details  is displaying  or not.</t>
  </si>
  <si>
    <t>Application should display the respective order payment method under billing info section.</t>
  </si>
  <si>
    <t>Verify whether Subtotal value is displaying  or not.</t>
  </si>
  <si>
    <t>Application should display the subtotal label with values as respective Item subtotal price in order total section.</t>
  </si>
  <si>
    <t>Verify whether Add-ons Prices is displaying  or not.</t>
  </si>
  <si>
    <t>Application should display the Add-ons labelwith values a respective Item selected Add-ons  price in order total section.</t>
  </si>
  <si>
    <t>Verify whether Discount Prices is displaying  or not.</t>
  </si>
  <si>
    <t>Discount Percent as "No"</t>
  </si>
  <si>
    <t>Application should display the Discount label with values as respective Item Discount  price in order total section.</t>
  </si>
  <si>
    <t>Discount Percent as "Yes"</t>
  </si>
  <si>
    <t>Application should display the Discount label with values as respective Item Discount applied value price in order total section.</t>
  </si>
  <si>
    <t>Verify whether Postage Prices is displaying  or not.</t>
  </si>
  <si>
    <t>Application should display the Postage label with values as respective Item  postage price in order total section.</t>
  </si>
  <si>
    <t>Verify whether Handling Fee Prices is displaying  or not.</t>
  </si>
  <si>
    <t>Application should display the Handling fee label with values as respective Order handling fee in order total section</t>
  </si>
  <si>
    <t>Verify whether Promotion Price is displaying  or not.</t>
  </si>
  <si>
    <t xml:space="preserve">If user applied Promotion   </t>
  </si>
  <si>
    <t>Application should display the  promotion label with values as appiled promotion price to respective Order in order total section</t>
  </si>
  <si>
    <t xml:space="preserve">If user not applied Promotion   </t>
  </si>
  <si>
    <t>Application should not display the  promotion label in order total section</t>
  </si>
  <si>
    <t>Verify whether Fulfilment Charges Prices is displaying  or not.</t>
  </si>
  <si>
    <t>Application should display the Fulfilment charges label with values as respective Order fulfilment charge amount price in order total section</t>
  </si>
  <si>
    <t>Verify whether Tax Prices is displaying  or not.</t>
  </si>
  <si>
    <t>Application should display the Tax label with values as respective Order Tax amount price in order total section</t>
  </si>
  <si>
    <t>Verify whether Shipping  Prices is displaying  or not.</t>
  </si>
  <si>
    <t>Application should display the Shipping label with values as respective Order shipping amount price in order total section</t>
  </si>
  <si>
    <t>Verify whether Total Prices is displaying  or not.</t>
  </si>
  <si>
    <t>Application should display the Total label with values as respective Order Total amount price in order total section</t>
  </si>
  <si>
    <t>Test the application to click on close button.</t>
  </si>
  <si>
    <t>Application should be able to close the right side and display the orders page.</t>
  </si>
  <si>
    <t>View Order Details Page&gt;&gt; Products tab</t>
  </si>
  <si>
    <t>Verify whether product is dispalying or not.</t>
  </si>
  <si>
    <t>Application should display the total products count in products right side bar.</t>
  </si>
  <si>
    <t>Verify whether Product name is dispalying or not.</t>
  </si>
  <si>
    <t>Application should display the respective Item product name with arrow symbol.</t>
  </si>
  <si>
    <t>Test the application to click on arrow symbol.</t>
  </si>
  <si>
    <t>Verify whether item id is dispalying or not.</t>
  </si>
  <si>
    <t>Application should display the respective product accuitem id under products tab.</t>
  </si>
  <si>
    <t>Verify whether  Quantity is dispalying or not.</t>
  </si>
  <si>
    <t>Application should display the user selected or entered quantity under products tab.</t>
  </si>
  <si>
    <t>Verify whether  Status  is dispalying or not.</t>
  </si>
  <si>
    <t>Application should display the respective order item status under product right side bar.</t>
  </si>
  <si>
    <t>Verify whether Duedate  is dispalying or not.</t>
  </si>
  <si>
    <t>Application should display the user selected due date under product right side bar.</t>
  </si>
  <si>
    <t>Verify whether Delivery method  is dispalying or not.</t>
  </si>
  <si>
    <r>
      <t xml:space="preserve">Application should display the respective order delivery method under product right side bar.
</t>
    </r>
    <r>
      <rPr>
        <b/>
        <sz val="10"/>
        <color theme="1"/>
        <rFont val="Verdana"/>
        <family val="2"/>
      </rPr>
      <t xml:space="preserve">For Ex: </t>
    </r>
    <r>
      <rPr>
        <sz val="10"/>
        <color theme="1"/>
        <rFont val="Verdana"/>
        <family val="2"/>
      </rPr>
      <t>Ship to My Address, Mailing list</t>
    </r>
  </si>
  <si>
    <t>Verify whether Process Type is dispalying or not.</t>
  </si>
  <si>
    <r>
      <t xml:space="preserve">Application should display the respective order Process type under product right side bar.
</t>
    </r>
    <r>
      <rPr>
        <b/>
        <sz val="10"/>
        <color theme="1"/>
        <rFont val="Verdana"/>
        <family val="2"/>
      </rPr>
      <t xml:space="preserve">For Ex: </t>
    </r>
    <r>
      <rPr>
        <sz val="10"/>
        <color theme="1"/>
        <rFont val="Verdana"/>
        <family val="2"/>
      </rPr>
      <t>Print, Downlaod, Print / Downlaod, Inventory</t>
    </r>
  </si>
  <si>
    <t>Verify whether list name  is dispalying or not.</t>
  </si>
  <si>
    <t>For Mailing list Orders&gt;&gt; Single Order</t>
  </si>
  <si>
    <t>Application should display the respective order list name under product right side bar for list based products.</t>
  </si>
  <si>
    <t>Application should display the list name under product right side bar for list based products only.</t>
  </si>
  <si>
    <t>Verify whether Item Price is displaying or not.</t>
  </si>
  <si>
    <t>Application should display the respective order item price under products right side bar.</t>
  </si>
  <si>
    <t>Verify whether Add-ons Price is displaying or not.</t>
  </si>
  <si>
    <t>Application should display the respective order Add-ons  price under products right side bar.</t>
  </si>
  <si>
    <t>Verify whether Discount Price is displaying or not.</t>
  </si>
  <si>
    <r>
      <t xml:space="preserve">Application should display the respective order Discount price under products right side bar.
</t>
    </r>
    <r>
      <rPr>
        <b/>
        <sz val="10"/>
        <color theme="1"/>
        <rFont val="Verdana"/>
        <family val="2"/>
      </rPr>
      <t xml:space="preserve">For Ex: </t>
    </r>
    <r>
      <rPr>
        <sz val="10"/>
        <color theme="1"/>
        <rFont val="Verdana"/>
        <family val="2"/>
      </rPr>
      <t>-4.000</t>
    </r>
  </si>
  <si>
    <r>
      <t xml:space="preserve">Application should display the respective order Discount price under products right side bar.
</t>
    </r>
    <r>
      <rPr>
        <b/>
        <sz val="10"/>
        <color theme="1"/>
        <rFont val="Verdana"/>
        <family val="2"/>
      </rPr>
      <t>For Ex:</t>
    </r>
    <r>
      <rPr>
        <sz val="10"/>
        <color theme="1"/>
        <rFont val="Verdana"/>
        <family val="2"/>
      </rPr>
      <t xml:space="preserve"> 4.000%</t>
    </r>
  </si>
  <si>
    <t>Verify whether Subtotal Price is displaying or not.</t>
  </si>
  <si>
    <r>
      <t xml:space="preserve">Application Shoul display the respective item subtotal price under products right side bar.
</t>
    </r>
    <r>
      <rPr>
        <b/>
        <sz val="10"/>
        <color theme="1"/>
        <rFont val="Verdana"/>
        <family val="2"/>
      </rPr>
      <t>For Ex:</t>
    </r>
    <r>
      <rPr>
        <sz val="10"/>
        <color theme="1"/>
        <rFont val="Verdana"/>
        <family val="2"/>
      </rPr>
      <t xml:space="preserve"> Subtotal = (Quantity * Item Price) - Discount +Add-ons Price + postage price</t>
    </r>
  </si>
  <si>
    <t>View Order Details Page&gt;&gt; Shipping tab</t>
  </si>
  <si>
    <t>Verify whether Shipment sections is dispalying or not.</t>
  </si>
  <si>
    <t>Application should display the respective Item Shippment sections with arrow symbol.</t>
  </si>
  <si>
    <t>Verify whether Shipment sections is dispalying or not for mailing list products.</t>
  </si>
  <si>
    <t>For order process type mailing list</t>
  </si>
  <si>
    <t>Application should not display the shipping tab for list based products</t>
  </si>
  <si>
    <t>Application should display the respective product Shipping details in shipping  tab.</t>
  </si>
  <si>
    <t>Verify whether Shipping Address is displaying or not.</t>
  </si>
  <si>
    <t>Application should display the respective order Shipping address in order info right side bar.
Shipping Address Details:
1. Address1
2. Address2
3. City 
4. State
5. Country
6. Zip
7. Email
8. Phone Number</t>
  </si>
  <si>
    <t>Verify whether Shipping Address details are displaying the sequence order  or not.</t>
  </si>
  <si>
    <t>Application should display the respective Item Shipping address details  in sequence order under shipping section in right side bar.</t>
  </si>
  <si>
    <t>Verify shipping details.</t>
  </si>
  <si>
    <t>Application should display the below mentioned details.
1. Shipping method
2. Shipping Price
3. Shipping Provider name</t>
  </si>
  <si>
    <t>Verify whether shipping method is displaying or not.</t>
  </si>
  <si>
    <t>Application should display the respective item shipping method name as cstom label of either custom shipping method / carriear shipping method.</t>
  </si>
  <si>
    <t>Verify whether shipping Price is displaying or not.</t>
  </si>
  <si>
    <t>Application should display the respective item shipping Price name either custom shipping method / carriear shipping method.</t>
  </si>
  <si>
    <t>Verify whether shipping Provider Name is displaying or not.</t>
  </si>
  <si>
    <t>Application should display the respective item shipping provider name either custom shipping method / carriear shipping method.</t>
  </si>
  <si>
    <t>Test the application to click on close button in tracking details pop up.</t>
  </si>
  <si>
    <t>Application should display the product tab page.</t>
  </si>
  <si>
    <t>TC#13</t>
  </si>
  <si>
    <t>TC#12</t>
  </si>
  <si>
    <t>TC58</t>
  </si>
  <si>
    <t>Verify the price details in order details page</t>
  </si>
  <si>
    <t>Application should display Price details correctly</t>
  </si>
  <si>
    <t>Actual Result</t>
  </si>
  <si>
    <t>Acutal Result</t>
  </si>
  <si>
    <t>TD#</t>
  </si>
  <si>
    <r>
      <t>Application should display admin created Dynamic Xmpie  templates with below mentioned options.
1. Image of the Product
2. Name of the Product
3. Select (Button)
4. Quick View (Button)
5.</t>
    </r>
    <r>
      <rPr>
        <sz val="11"/>
        <color theme="1" tint="4.9989318521683403E-2"/>
        <rFont val="Calibri"/>
        <family val="2"/>
      </rPr>
      <t xml:space="preserve"> From Price</t>
    </r>
  </si>
  <si>
    <t>Application should display the personalize  page with admin setup dials</t>
  </si>
  <si>
    <t>Test the application navigate to the select template page from catergories page</t>
  </si>
  <si>
    <t>Select Categorie</t>
  </si>
  <si>
    <t>Application should navigate to category page</t>
  </si>
  <si>
    <t>Application should display the Select list/quantity page</t>
  </si>
  <si>
    <t>Mailing List option:</t>
  </si>
  <si>
    <t>System should navigate to " View Summary " page</t>
  </si>
  <si>
    <t>System should display the “Upload List” screen</t>
  </si>
  <si>
    <t>Select List/Quantity Step&gt;
Select “Upload a List”  in the Select List Type section</t>
  </si>
  <si>
    <t>System should Upload that corresponding List successfully and it should navigate to Remove duplicates section</t>
  </si>
  <si>
    <t>System should display Match List inline pop up</t>
  </si>
  <si>
    <t>Application should display view summary page with product info, product price deatils, proof</t>
  </si>
  <si>
    <t>Application should display the Shopping cart page</t>
  </si>
  <si>
    <t>Test the applicaion response by clicking on continue shopping</t>
  </si>
  <si>
    <t xml:space="preserve">
Click&lt;Continue&gt; Button</t>
  </si>
  <si>
    <t>Application should display the checkout page</t>
  </si>
  <si>
    <t>TD#1 to TD#43</t>
  </si>
  <si>
    <t>Application should display the Add new address pop up</t>
  </si>
  <si>
    <t>TD#41 to TD#43</t>
  </si>
  <si>
    <t>Application should display the billing section</t>
  </si>
  <si>
    <t>Billing
Coop Fund,</t>
  </si>
  <si>
    <t>Application should display the item summary as item name, quantity, price and amount</t>
  </si>
  <si>
    <t>Verify the Price amount in review order section.</t>
  </si>
  <si>
    <t>Application should display the valid price details</t>
  </si>
  <si>
    <t>ShipmentWithList</t>
  </si>
  <si>
    <t>Postage</t>
  </si>
  <si>
    <t>Is Postage Taxable</t>
  </si>
  <si>
    <t>Postage Price per piece</t>
  </si>
  <si>
    <t>Taxes Price</t>
  </si>
  <si>
    <t>Download Price</t>
  </si>
  <si>
    <t>Pending</t>
  </si>
  <si>
    <t>Automation Status</t>
  </si>
  <si>
    <t>Completed</t>
  </si>
  <si>
    <t>InComplete</t>
  </si>
  <si>
    <t/>
  </si>
  <si>
    <t>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</si>
</sst>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Red]0.00"/>
    <numFmt numFmtId="165" formatCode="0.000;[Red]0.000"/>
    <numFmt numFmtId="166" formatCode="0;[Red]0"/>
    <numFmt numFmtId="167" formatCode="0.000"/>
    <numFmt numFmtId="168" formatCode="0.0000;[Red]0.0000"/>
    <numFmt numFmtId="169" formatCode="0.0000"/>
    <numFmt numFmtId="170" formatCode="[$-409]General"/>
  </numFmts>
  <fonts count="2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charset val="134"/>
      <scheme val="minor"/>
    </font>
    <font>
      <b/>
      <sz val="11"/>
      <color theme="9" tint="-0.249977111117893"/>
      <name val="Calibri"/>
      <charset val="134"/>
      <scheme val="minor"/>
    </font>
    <font>
      <b/>
      <sz val="11"/>
      <color rgb="FF00B0F0"/>
      <name val="Calibri"/>
      <charset val="134"/>
      <scheme val="minor"/>
    </font>
    <font>
      <b/>
      <sz val="11"/>
      <color theme="1"/>
      <name val="Calibri"/>
      <family val="2"/>
      <scheme val="minor"/>
    </font>
    <font>
      <b/>
      <sz val="11"/>
      <color rgb="FF00B0F0"/>
      <name val="Calibri"/>
      <family val="2"/>
      <scheme val="minor"/>
    </font>
    <font>
      <sz val="10"/>
      <color rgb="FF2E2E2E"/>
      <name val="Arial"/>
      <family val="2"/>
    </font>
    <font>
      <b/>
      <sz val="11"/>
      <color theme="9" tint="-0.249977111117893"/>
      <name val="Calibri"/>
      <family val="2"/>
      <scheme val="minor"/>
    </font>
    <font>
      <sz val="10"/>
      <color theme="1"/>
      <name val="Consolas"/>
      <family val="3"/>
    </font>
    <font>
      <sz val="11"/>
      <color indexed="8"/>
      <name val="Calibri"/>
      <family val="2"/>
    </font>
    <font>
      <b/>
      <sz val="11"/>
      <name val="Calibri"/>
      <family val="2"/>
    </font>
    <font>
      <sz val="11"/>
      <color theme="1"/>
      <name val="Calibri"/>
      <family val="2"/>
    </font>
    <font>
      <sz val="11"/>
      <name val="Calibri"/>
      <family val="2"/>
    </font>
    <font>
      <sz val="11"/>
      <name val="Calibri"/>
      <family val="2"/>
      <scheme val="minor"/>
    </font>
    <font>
      <sz val="10"/>
      <name val="Verdana"/>
      <family val="2"/>
    </font>
    <font>
      <b/>
      <sz val="11"/>
      <name val="Calibri"/>
      <family val="2"/>
      <scheme val="minor"/>
    </font>
    <font>
      <sz val="11"/>
      <color rgb="FF000000"/>
      <name val="Calibri"/>
      <family val="2"/>
    </font>
    <font>
      <sz val="11"/>
      <color theme="1"/>
      <name val="Arial"/>
      <family val="2"/>
    </font>
    <font>
      <b/>
      <sz val="10"/>
      <color theme="1"/>
      <name val="Verdana"/>
      <family val="2"/>
    </font>
    <font>
      <sz val="10"/>
      <color theme="1"/>
      <name val="Verdana"/>
      <family val="2"/>
    </font>
    <font>
      <sz val="11"/>
      <color theme="1" tint="4.9989318521683403E-2"/>
      <name val="Calibri"/>
      <family val="2"/>
    </font>
  </fonts>
  <fills count="13">
    <fill>
      <patternFill patternType="none"/>
    </fill>
    <fill>
      <patternFill patternType="gray125"/>
    </fill>
    <fill>
      <patternFill patternType="solid">
        <fgColor theme="2" tint="-0.249977111117893"/>
        <bgColor indexed="64"/>
      </patternFill>
    </fill>
    <fill>
      <patternFill patternType="solid">
        <fgColor theme="0" tint="-0.14996795556505021"/>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4" tint="0.79998168889431442"/>
        <bgColor indexed="23"/>
      </patternFill>
    </fill>
    <fill>
      <patternFill patternType="solid">
        <fgColor theme="2" tint="-9.9978637043366805E-2"/>
        <bgColor indexed="64"/>
      </patternFill>
    </fill>
    <fill>
      <patternFill patternType="solid">
        <fgColor theme="0"/>
        <bgColor indexed="23"/>
      </patternFill>
    </fill>
    <fill>
      <patternFill patternType="solid">
        <fgColor theme="2" tint="-9.9978637043366805E-2"/>
        <bgColor indexed="23"/>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style="thin">
        <color auto="1"/>
      </left>
      <right style="thin">
        <color auto="1"/>
      </right>
      <top style="thin">
        <color auto="1"/>
      </top>
      <bottom/>
      <diagonal/>
    </border>
    <border>
      <left style="thin">
        <color auto="1"/>
      </left>
      <right style="thin">
        <color auto="1"/>
      </right>
      <top/>
      <bottom/>
      <diagonal/>
    </border>
  </borders>
  <cellStyleXfs count="9">
    <xf numFmtId="0" fontId="0" fillId="0" borderId="0"/>
    <xf numFmtId="0" fontId="8" fillId="0" borderId="0"/>
    <xf numFmtId="0" fontId="6" fillId="0" borderId="0"/>
    <xf numFmtId="0" fontId="17" fillId="0" borderId="0"/>
    <xf numFmtId="0" fontId="17" fillId="0" borderId="0"/>
    <xf numFmtId="0" fontId="17" fillId="0" borderId="0">
      <alignment vertical="center"/>
    </xf>
    <xf numFmtId="0" fontId="3" fillId="0" borderId="0"/>
    <xf numFmtId="170" fontId="24" fillId="0" borderId="0"/>
    <xf numFmtId="0" fontId="25" fillId="0" borderId="0"/>
  </cellStyleXfs>
  <cellXfs count="133">
    <xf numFmtId="0" fontId="0" fillId="0" borderId="0" xfId="0"/>
    <xf numFmtId="0" fontId="0" fillId="0" borderId="1" xfId="0" applyBorder="1"/>
    <xf numFmtId="0" fontId="0" fillId="2" borderId="1" xfId="0" applyFill="1" applyBorder="1"/>
    <xf numFmtId="0" fontId="11" fillId="0" borderId="1" xfId="0" applyFont="1" applyBorder="1"/>
    <xf numFmtId="2" fontId="0" fillId="0" borderId="1" xfId="0" applyNumberFormat="1" applyBorder="1" applyAlignment="1"/>
    <xf numFmtId="0" fontId="9" fillId="2" borderId="1" xfId="0" applyFont="1" applyFill="1" applyBorder="1" applyAlignment="1">
      <alignment vertical="top" wrapText="1"/>
    </xf>
    <xf numFmtId="0" fontId="9" fillId="2" borderId="1" xfId="0" applyFont="1" applyFill="1" applyBorder="1" applyAlignment="1">
      <alignment horizontal="center" vertical="top" wrapText="1"/>
    </xf>
    <xf numFmtId="0" fontId="10" fillId="3" borderId="1" xfId="0" applyFont="1" applyFill="1" applyBorder="1" applyAlignment="1">
      <alignment vertical="top" wrapText="1"/>
    </xf>
    <xf numFmtId="0" fontId="9" fillId="3" borderId="1" xfId="0" applyFont="1" applyFill="1" applyBorder="1" applyAlignment="1">
      <alignment vertical="top" wrapText="1"/>
    </xf>
    <xf numFmtId="165" fontId="9" fillId="2" borderId="1" xfId="0" applyNumberFormat="1" applyFont="1" applyFill="1" applyBorder="1" applyAlignment="1">
      <alignment vertical="top" wrapText="1"/>
    </xf>
    <xf numFmtId="0" fontId="0" fillId="0" borderId="0" xfId="0" applyAlignment="1">
      <alignment wrapText="1"/>
    </xf>
    <xf numFmtId="0" fontId="0" fillId="0" borderId="0" xfId="0" applyAlignment="1"/>
    <xf numFmtId="0" fontId="0" fillId="0" borderId="1" xfId="0" applyBorder="1" applyAlignment="1"/>
    <xf numFmtId="166" fontId="0" fillId="0" borderId="1" xfId="0" applyNumberFormat="1" applyBorder="1" applyAlignment="1"/>
    <xf numFmtId="164" fontId="0" fillId="0" borderId="1" xfId="0" applyNumberFormat="1" applyFont="1" applyBorder="1" applyAlignment="1">
      <alignment vertical="top"/>
    </xf>
    <xf numFmtId="164" fontId="0" fillId="0" borderId="1" xfId="0" applyNumberFormat="1" applyFont="1" applyFill="1" applyBorder="1" applyAlignment="1">
      <alignment vertical="top"/>
    </xf>
    <xf numFmtId="164" fontId="0" fillId="0" borderId="1" xfId="0" applyNumberFormat="1" applyBorder="1" applyAlignment="1"/>
    <xf numFmtId="164" fontId="0" fillId="0" borderId="1" xfId="0" quotePrefix="1" applyNumberFormat="1" applyBorder="1" applyAlignment="1"/>
    <xf numFmtId="165" fontId="0" fillId="0" borderId="1" xfId="0" applyNumberFormat="1" applyBorder="1" applyAlignment="1"/>
    <xf numFmtId="166" fontId="0" fillId="0" borderId="1" xfId="0" applyNumberFormat="1" applyFill="1" applyBorder="1" applyAlignment="1"/>
    <xf numFmtId="0" fontId="0" fillId="0" borderId="1" xfId="0" applyBorder="1" applyAlignment="1">
      <alignment horizontal="left"/>
    </xf>
    <xf numFmtId="0" fontId="8" fillId="0" borderId="1" xfId="1" applyBorder="1" applyAlignment="1"/>
    <xf numFmtId="166" fontId="8" fillId="0" borderId="1" xfId="1" applyNumberFormat="1" applyBorder="1" applyAlignment="1"/>
    <xf numFmtId="165" fontId="13" fillId="5" borderId="1" xfId="1" applyNumberFormat="1" applyFont="1" applyFill="1" applyBorder="1" applyAlignment="1">
      <alignment vertical="top"/>
    </xf>
    <xf numFmtId="0" fontId="13" fillId="5" borderId="2" xfId="0" applyFont="1" applyFill="1" applyBorder="1" applyAlignment="1">
      <alignment vertical="top"/>
    </xf>
    <xf numFmtId="0" fontId="13" fillId="5" borderId="3" xfId="0" applyFont="1" applyFill="1" applyBorder="1" applyAlignment="1">
      <alignment vertical="top"/>
    </xf>
    <xf numFmtId="164" fontId="7" fillId="0" borderId="1" xfId="1" applyNumberFormat="1" applyFont="1" applyBorder="1" applyAlignment="1">
      <alignment vertical="top"/>
    </xf>
    <xf numFmtId="164" fontId="8" fillId="0" borderId="1" xfId="1" applyNumberFormat="1" applyBorder="1" applyAlignment="1"/>
    <xf numFmtId="165" fontId="8" fillId="0" borderId="1" xfId="1" applyNumberFormat="1" applyBorder="1" applyAlignment="1"/>
    <xf numFmtId="164" fontId="12" fillId="0" borderId="1" xfId="0" applyNumberFormat="1" applyFont="1" applyBorder="1" applyAlignment="1">
      <alignment vertical="top"/>
    </xf>
    <xf numFmtId="0" fontId="14" fillId="0" borderId="1" xfId="0" applyFont="1" applyBorder="1"/>
    <xf numFmtId="164" fontId="7" fillId="0" borderId="1" xfId="0" applyNumberFormat="1" applyFont="1" applyBorder="1" applyAlignment="1">
      <alignment vertical="top"/>
    </xf>
    <xf numFmtId="165" fontId="12" fillId="0" borderId="1" xfId="0" applyNumberFormat="1" applyFont="1" applyBorder="1" applyAlignment="1">
      <alignment vertical="top"/>
    </xf>
    <xf numFmtId="167" fontId="0" fillId="0" borderId="1" xfId="0" applyNumberFormat="1" applyBorder="1" applyAlignment="1"/>
    <xf numFmtId="168" fontId="12" fillId="0" borderId="1" xfId="0" applyNumberFormat="1" applyFont="1" applyBorder="1" applyAlignment="1">
      <alignment vertical="top"/>
    </xf>
    <xf numFmtId="168" fontId="0" fillId="0" borderId="1" xfId="0" applyNumberFormat="1" applyBorder="1" applyAlignment="1"/>
    <xf numFmtId="164" fontId="0" fillId="0" borderId="1" xfId="0" applyNumberFormat="1" applyFont="1" applyBorder="1" applyAlignment="1">
      <alignment vertical="top" wrapText="1"/>
    </xf>
    <xf numFmtId="164" fontId="0" fillId="0" borderId="1" xfId="0" applyNumberFormat="1" applyFont="1" applyBorder="1" applyAlignment="1">
      <alignment horizontal="right" wrapText="1"/>
    </xf>
    <xf numFmtId="166" fontId="0" fillId="0" borderId="1" xfId="0" applyNumberFormat="1" applyBorder="1"/>
    <xf numFmtId="164" fontId="0" fillId="0" borderId="1" xfId="0" applyNumberFormat="1" applyBorder="1"/>
    <xf numFmtId="166" fontId="0" fillId="0" borderId="1" xfId="0" applyNumberFormat="1" applyFill="1" applyBorder="1"/>
    <xf numFmtId="0" fontId="7" fillId="0" borderId="1" xfId="0" applyFont="1" applyBorder="1" applyAlignment="1"/>
    <xf numFmtId="0" fontId="12" fillId="6" borderId="1" xfId="0" applyFont="1" applyFill="1" applyBorder="1" applyAlignment="1">
      <alignment vertical="top"/>
    </xf>
    <xf numFmtId="0" fontId="15" fillId="6" borderId="1" xfId="0" applyFont="1" applyFill="1" applyBorder="1" applyAlignment="1">
      <alignment vertical="top"/>
    </xf>
    <xf numFmtId="165" fontId="12" fillId="6" borderId="1" xfId="0" applyNumberFormat="1" applyFont="1" applyFill="1" applyBorder="1" applyAlignment="1">
      <alignment vertical="top"/>
    </xf>
    <xf numFmtId="2" fontId="8" fillId="0" borderId="1" xfId="1" applyNumberFormat="1" applyBorder="1" applyAlignment="1"/>
    <xf numFmtId="165" fontId="0" fillId="0" borderId="1" xfId="0" applyNumberFormat="1" applyFont="1" applyBorder="1" applyAlignment="1">
      <alignment vertical="top"/>
    </xf>
    <xf numFmtId="167" fontId="8" fillId="0" borderId="1" xfId="1" applyNumberFormat="1" applyBorder="1" applyAlignment="1"/>
    <xf numFmtId="169" fontId="8" fillId="0" borderId="1" xfId="1" applyNumberFormat="1" applyBorder="1" applyAlignment="1"/>
    <xf numFmtId="0" fontId="13" fillId="5" borderId="4" xfId="0" applyFont="1" applyFill="1" applyBorder="1" applyAlignment="1">
      <alignment vertical="top"/>
    </xf>
    <xf numFmtId="164" fontId="7" fillId="0" borderId="1" xfId="0" applyNumberFormat="1" applyFont="1" applyFill="1" applyBorder="1" applyAlignment="1">
      <alignment vertical="top"/>
    </xf>
    <xf numFmtId="168" fontId="0" fillId="0" borderId="1" xfId="0" applyNumberFormat="1" applyFont="1" applyBorder="1" applyAlignment="1">
      <alignment vertical="top"/>
    </xf>
    <xf numFmtId="169" fontId="0" fillId="0" borderId="1" xfId="0" applyNumberFormat="1" applyBorder="1" applyAlignment="1"/>
    <xf numFmtId="0" fontId="0" fillId="0" borderId="1" xfId="0" quotePrefix="1" applyBorder="1" applyAlignment="1"/>
    <xf numFmtId="168" fontId="7" fillId="0" borderId="1" xfId="1" applyNumberFormat="1" applyFont="1" applyBorder="1" applyAlignment="1">
      <alignment vertical="top"/>
    </xf>
    <xf numFmtId="166" fontId="8" fillId="0" borderId="1" xfId="1" applyNumberFormat="1" applyFill="1" applyBorder="1" applyAlignment="1"/>
    <xf numFmtId="168" fontId="8" fillId="0" borderId="1" xfId="1" applyNumberFormat="1" applyBorder="1" applyAlignment="1"/>
    <xf numFmtId="0" fontId="16" fillId="0" borderId="1" xfId="0" applyFont="1" applyBorder="1"/>
    <xf numFmtId="0" fontId="12" fillId="0" borderId="1" xfId="0" applyFont="1" applyBorder="1" applyAlignment="1">
      <alignment wrapText="1"/>
    </xf>
    <xf numFmtId="0" fontId="6" fillId="0" borderId="1" xfId="2" applyBorder="1"/>
    <xf numFmtId="0" fontId="0" fillId="0" borderId="1" xfId="0" applyBorder="1" applyAlignment="1">
      <alignment wrapText="1"/>
    </xf>
    <xf numFmtId="0" fontId="18" fillId="7" borderId="1" xfId="3" applyFont="1" applyFill="1" applyBorder="1" applyAlignment="1">
      <alignment horizontal="center" wrapText="1"/>
    </xf>
    <xf numFmtId="0" fontId="12" fillId="8" borderId="1" xfId="0" applyFont="1" applyFill="1" applyBorder="1" applyAlignment="1">
      <alignment horizontal="center" vertical="center" wrapText="1"/>
    </xf>
    <xf numFmtId="0" fontId="0" fillId="0" borderId="1" xfId="0" applyBorder="1" applyAlignment="1">
      <alignment vertical="center" wrapText="1"/>
    </xf>
    <xf numFmtId="0" fontId="0" fillId="4" borderId="5" xfId="0" applyFill="1" applyBorder="1"/>
    <xf numFmtId="0" fontId="5" fillId="6" borderId="1" xfId="2" applyFont="1" applyFill="1" applyBorder="1"/>
    <xf numFmtId="0" fontId="5" fillId="0" borderId="1" xfId="2" applyFont="1" applyBorder="1"/>
    <xf numFmtId="2" fontId="18" fillId="9" borderId="1" xfId="4" applyNumberFormat="1" applyFont="1" applyFill="1" applyBorder="1" applyAlignment="1">
      <alignment horizontal="left" vertical="top" wrapText="1"/>
    </xf>
    <xf numFmtId="0" fontId="18" fillId="9" borderId="1" xfId="4" applyFont="1" applyFill="1" applyBorder="1" applyAlignment="1">
      <alignment horizontal="center" vertical="top" wrapText="1"/>
    </xf>
    <xf numFmtId="0" fontId="18" fillId="9" borderId="1" xfId="2" applyFont="1" applyFill="1" applyBorder="1" applyAlignment="1">
      <alignment vertical="top" wrapText="1"/>
    </xf>
    <xf numFmtId="0" fontId="19" fillId="0" borderId="0" xfId="0" applyFont="1" applyAlignment="1">
      <alignment wrapText="1"/>
    </xf>
    <xf numFmtId="0" fontId="20" fillId="0" borderId="1" xfId="2" applyFont="1" applyBorder="1" applyAlignment="1">
      <alignment vertical="top" wrapText="1"/>
    </xf>
    <xf numFmtId="0" fontId="21" fillId="6" borderId="1" xfId="0" applyFont="1" applyFill="1" applyBorder="1" applyAlignment="1">
      <alignment vertical="center" wrapText="1"/>
    </xf>
    <xf numFmtId="0" fontId="12" fillId="10" borderId="1" xfId="0" applyFont="1" applyFill="1" applyBorder="1" applyAlignment="1">
      <alignment horizontal="left" vertical="top" wrapText="1"/>
    </xf>
    <xf numFmtId="0" fontId="18" fillId="11" borderId="1" xfId="4" applyFont="1" applyFill="1" applyBorder="1" applyAlignment="1">
      <alignment horizontal="center" vertical="top" wrapText="1"/>
    </xf>
    <xf numFmtId="0" fontId="20" fillId="0" borderId="1" xfId="2" applyFont="1" applyBorder="1" applyAlignment="1">
      <alignment vertical="center" wrapText="1"/>
    </xf>
    <xf numFmtId="0" fontId="20" fillId="0" borderId="1" xfId="2" applyFont="1" applyBorder="1" applyAlignment="1">
      <alignment horizontal="left" wrapText="1"/>
    </xf>
    <xf numFmtId="0" fontId="20" fillId="0" borderId="1" xfId="2" applyFont="1" applyBorder="1" applyAlignment="1">
      <alignment horizontal="left" vertical="top" wrapText="1"/>
    </xf>
    <xf numFmtId="0" fontId="20" fillId="0" borderId="4" xfId="2" applyFont="1" applyBorder="1" applyAlignment="1">
      <alignment vertical="center" wrapText="1"/>
    </xf>
    <xf numFmtId="0" fontId="20" fillId="0" borderId="0" xfId="2" applyFont="1" applyBorder="1" applyAlignment="1">
      <alignment vertical="center" wrapText="1"/>
    </xf>
    <xf numFmtId="0" fontId="20" fillId="6" borderId="6" xfId="0" applyFont="1" applyFill="1" applyBorder="1" applyAlignment="1">
      <alignment vertical="top" wrapText="1"/>
    </xf>
    <xf numFmtId="0" fontId="19" fillId="0" borderId="1" xfId="0" applyFont="1" applyBorder="1" applyAlignment="1">
      <alignment horizontal="center" vertical="top" wrapText="1"/>
    </xf>
    <xf numFmtId="0" fontId="20" fillId="6" borderId="1" xfId="0" applyFont="1" applyFill="1" applyBorder="1" applyAlignment="1">
      <alignment vertical="top" wrapText="1"/>
    </xf>
    <xf numFmtId="0" fontId="20" fillId="6" borderId="0" xfId="0" applyFont="1" applyFill="1" applyAlignment="1">
      <alignment vertical="top" wrapText="1"/>
    </xf>
    <xf numFmtId="0" fontId="20" fillId="6" borderId="4" xfId="0" applyFont="1" applyFill="1" applyBorder="1" applyAlignment="1">
      <alignment vertical="top" wrapText="1"/>
    </xf>
    <xf numFmtId="0" fontId="22" fillId="0" borderId="1" xfId="4" applyFont="1" applyBorder="1" applyAlignment="1">
      <alignment vertical="top" wrapText="1"/>
    </xf>
    <xf numFmtId="0" fontId="22" fillId="0" borderId="1" xfId="0" applyFont="1" applyBorder="1" applyAlignment="1">
      <alignment vertical="center"/>
    </xf>
    <xf numFmtId="0" fontId="19" fillId="0" borderId="1" xfId="0" applyFont="1" applyBorder="1" applyAlignment="1">
      <alignment wrapText="1"/>
    </xf>
    <xf numFmtId="0" fontId="20" fillId="0" borderId="1" xfId="2" applyFont="1" applyBorder="1" applyAlignment="1">
      <alignment wrapText="1"/>
    </xf>
    <xf numFmtId="0" fontId="21" fillId="0" borderId="1" xfId="2" applyFont="1" applyBorder="1" applyAlignment="1">
      <alignment vertical="center" wrapText="1"/>
    </xf>
    <xf numFmtId="0" fontId="21" fillId="0" borderId="5" xfId="2" applyFont="1" applyBorder="1" applyAlignment="1">
      <alignment horizontal="left" vertical="top" wrapText="1"/>
    </xf>
    <xf numFmtId="0" fontId="21" fillId="0" borderId="1" xfId="2" applyFont="1" applyBorder="1" applyAlignment="1">
      <alignment wrapText="1"/>
    </xf>
    <xf numFmtId="0" fontId="4" fillId="0" borderId="0" xfId="0" applyFont="1" applyAlignment="1">
      <alignment wrapText="1"/>
    </xf>
    <xf numFmtId="0" fontId="21" fillId="0" borderId="1" xfId="2" applyFont="1" applyBorder="1" applyAlignment="1">
      <alignment vertical="top" wrapText="1"/>
    </xf>
    <xf numFmtId="0" fontId="23" fillId="10" borderId="1" xfId="2" applyFont="1" applyFill="1" applyBorder="1" applyAlignment="1">
      <alignment wrapText="1"/>
    </xf>
    <xf numFmtId="0" fontId="21" fillId="0" borderId="4" xfId="2" applyFont="1" applyBorder="1" applyAlignment="1">
      <alignment wrapText="1"/>
    </xf>
    <xf numFmtId="0" fontId="21" fillId="0" borderId="5" xfId="2" applyFont="1" applyBorder="1" applyAlignment="1">
      <alignment vertical="top" wrapText="1"/>
    </xf>
    <xf numFmtId="0" fontId="0" fillId="0" borderId="4" xfId="0" applyBorder="1" applyAlignment="1">
      <alignment wrapText="1"/>
    </xf>
    <xf numFmtId="0" fontId="18" fillId="12" borderId="1" xfId="2" applyFont="1" applyFill="1" applyBorder="1" applyAlignment="1">
      <alignment horizontal="left" wrapText="1"/>
    </xf>
    <xf numFmtId="0" fontId="18" fillId="12" borderId="1" xfId="2" applyFont="1" applyFill="1" applyBorder="1" applyAlignment="1">
      <alignment horizontal="left" vertical="center" wrapText="1"/>
    </xf>
    <xf numFmtId="0" fontId="20" fillId="6" borderId="1" xfId="0" applyFont="1" applyFill="1" applyBorder="1" applyAlignment="1">
      <alignment horizontal="center" vertical="top" wrapText="1"/>
    </xf>
    <xf numFmtId="0" fontId="19" fillId="0" borderId="7" xfId="0" applyFont="1" applyBorder="1" applyAlignment="1">
      <alignment wrapText="1"/>
    </xf>
    <xf numFmtId="0" fontId="19" fillId="0" borderId="8" xfId="0" applyFont="1" applyBorder="1" applyAlignment="1">
      <alignment wrapText="1"/>
    </xf>
    <xf numFmtId="0" fontId="19" fillId="0" borderId="9" xfId="0" applyFont="1" applyBorder="1" applyAlignment="1">
      <alignment wrapText="1"/>
    </xf>
    <xf numFmtId="0" fontId="12" fillId="10" borderId="1" xfId="0" applyFont="1" applyFill="1" applyBorder="1" applyAlignment="1">
      <alignment horizontal="center" vertical="top" wrapText="1"/>
    </xf>
    <xf numFmtId="0" fontId="17" fillId="6" borderId="1" xfId="5" applyFont="1" applyFill="1" applyBorder="1" applyAlignment="1">
      <alignment vertical="center" wrapText="1"/>
    </xf>
    <xf numFmtId="0" fontId="12" fillId="0" borderId="1" xfId="0" applyFont="1" applyFill="1" applyBorder="1" applyAlignment="1">
      <alignment wrapText="1"/>
    </xf>
    <xf numFmtId="0" fontId="0" fillId="0" borderId="1" xfId="0" applyFill="1" applyBorder="1" applyAlignment="1">
      <alignment wrapText="1"/>
    </xf>
    <xf numFmtId="0" fontId="0" fillId="0" borderId="0" xfId="0" applyFill="1"/>
    <xf numFmtId="0" fontId="0" fillId="0" borderId="1" xfId="0" applyBorder="1" applyAlignment="1">
      <alignment vertical="top" wrapText="1"/>
    </xf>
    <xf numFmtId="0" fontId="3" fillId="0" borderId="1" xfId="0"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applyAlignment="1">
      <alignment vertical="top"/>
    </xf>
    <xf numFmtId="166" fontId="0" fillId="0" borderId="2" xfId="0" applyNumberFormat="1" applyBorder="1" applyAlignment="1"/>
    <xf numFmtId="166" fontId="0" fillId="0" borderId="0" xfId="0" applyNumberFormat="1" applyBorder="1" applyAlignment="1"/>
    <xf numFmtId="164" fontId="2" fillId="0" borderId="1" xfId="0" applyNumberFormat="1" applyFont="1" applyBorder="1" applyAlignment="1">
      <alignment vertical="top" wrapText="1"/>
    </xf>
    <xf numFmtId="0" fontId="1" fillId="6" borderId="1" xfId="2" applyFont="1" applyFill="1" applyBorder="1"/>
    <xf numFmtId="2" fontId="0" fillId="0" borderId="1" xfId="0" applyNumberFormat="1" applyBorder="1"/>
    <xf numFmtId="0" fontId="0" fillId="0" borderId="10" xfId="0" applyBorder="1" applyAlignment="1">
      <alignment horizontal="center" vertical="top" wrapText="1"/>
    </xf>
    <xf numFmtId="0" fontId="0" fillId="0" borderId="11" xfId="0" applyBorder="1" applyAlignment="1">
      <alignment horizontal="center" vertical="top" wrapText="1"/>
    </xf>
    <xf numFmtId="0" fontId="0" fillId="0" borderId="5" xfId="0" applyBorder="1" applyAlignment="1">
      <alignment horizontal="center" vertical="top" wrapText="1"/>
    </xf>
    <xf numFmtId="0" fontId="13" fillId="5" borderId="2" xfId="0" applyFont="1" applyFill="1" applyBorder="1" applyAlignment="1">
      <alignment vertical="top"/>
    </xf>
    <xf numFmtId="0" fontId="13" fillId="5" borderId="3" xfId="0" applyFont="1" applyFill="1" applyBorder="1" applyAlignment="1">
      <alignment vertical="top"/>
    </xf>
    <xf numFmtId="0" fontId="13" fillId="5" borderId="4" xfId="0" applyFont="1" applyFill="1" applyBorder="1" applyAlignment="1">
      <alignment vertical="top"/>
    </xf>
  </cellXfs>
  <cellStyles count="9">
    <cellStyle name="Excel Built-in Normal" xfId="7" xr:uid="{00000000-0005-0000-0000-000036000000}"/>
    <cellStyle name="Normal" xfId="0" builtinId="0"/>
    <cellStyle name="Normal 2" xfId="1" xr:uid="{00000000-0005-0000-0000-000001000000}"/>
    <cellStyle name="Normal 2 2" xfId="8" xr:uid="{00000000-0005-0000-0000-000038000000}"/>
    <cellStyle name="Normal 3" xfId="2" xr:uid="{3098A190-3687-4D5A-81AB-3655F5C4AE66}"/>
    <cellStyle name="Normal 4" xfId="6" xr:uid="{00000000-0005-0000-0000-000037000000}"/>
    <cellStyle name="Normal 5" xfId="5" xr:uid="{14456136-BCA8-4FB8-8026-4BA151762987}"/>
    <cellStyle name="Normal_Sheet2" xfId="3" xr:uid="{29D3D965-3B25-4418-83A1-BC4142D8BDA9}"/>
    <cellStyle name="Normal_TC's" xfId="4" xr:uid="{C70FB24A-6BFA-45E5-9342-426A3F025AE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alcChain" Target="calcChain.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jpg"/>
</Relationships>

</file>

<file path=xl/drawings/drawing1.xml><?xml version="1.0" encoding="utf-8"?>
<xdr:wsDr xmlns:xdr="http://schemas.openxmlformats.org/drawingml/2006/spreadsheetDrawing" xmlns:a="http://schemas.openxmlformats.org/drawingml/2006/main">
  <xdr:twoCellAnchor editAs="oneCell">
    <xdr:from>
      <xdr:col>1</xdr:col>
      <xdr:colOff>21291</xdr:colOff>
      <xdr:row>0</xdr:row>
      <xdr:rowOff>0</xdr:rowOff>
    </xdr:from>
    <xdr:to>
      <xdr:col>18</xdr:col>
      <xdr:colOff>560295</xdr:colOff>
      <xdr:row>40</xdr:row>
      <xdr:rowOff>152400</xdr:rowOff>
    </xdr:to>
    <xdr:pic>
      <xdr:nvPicPr>
        <xdr:cNvPr id="4" name="Picture 3">
          <a:extLst>
            <a:ext uri="{FF2B5EF4-FFF2-40B4-BE49-F238E27FC236}">
              <a16:creationId xmlns:a16="http://schemas.microsoft.com/office/drawing/2014/main" id="{DF7920B5-F9F7-42DB-B143-5ACD263BD7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6409" y="0"/>
          <a:ext cx="10826004" cy="7772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Relationships xmlns="http://schemas.openxmlformats.org/package/2006/relationships">
  <Relationship Id="rId1" Type="http://schemas.openxmlformats.org/officeDocument/2006/relationships/drawing" Target="../drawings/drawing1.xml"/>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_rels/sheet6.xml.rels><?xml version="1.0" encoding="UTF-8"?>

<Relationships xmlns="http://schemas.openxmlformats.org/package/2006/relationships">
  <Relationship Id="rId1"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17"/>
  <sheetViews>
    <sheetView zoomScaleNormal="100" workbookViewId="0">
      <selection activeCell="C2" sqref="C2"/>
    </sheetView>
  </sheetViews>
  <sheetFormatPr defaultColWidth="9" defaultRowHeight="15"/>
  <cols>
    <col min="1" max="1" customWidth="true" width="11.28515625" collapsed="true"/>
    <col min="2" max="2" customWidth="true" width="15.28515625" collapsed="true"/>
    <col min="3" max="3" customWidth="true" width="43.42578125" collapsed="true"/>
    <col min="4" max="4" bestFit="true" customWidth="true" width="14.28515625" collapsed="true"/>
    <col min="13" max="13" customWidth="true" width="74.7109375" collapsed="true"/>
  </cols>
  <sheetData>
    <row r="2" spans="1:5">
      <c r="A2" s="2" t="s">
        <v>0</v>
      </c>
      <c r="B2" s="2" t="s">
        <v>1</v>
      </c>
      <c r="C2" s="2" t="s">
        <v>2</v>
      </c>
      <c r="D2" s="2" t="s">
        <v>4</v>
      </c>
      <c r="E2" s="2" t="s">
        <v>5</v>
      </c>
    </row>
    <row r="3" spans="1:5">
      <c r="A3" s="1">
        <v>1</v>
      </c>
      <c r="B3" s="1" t="s">
        <v>120</v>
      </c>
      <c r="C3" s="1" t="s">
        <v>301</v>
      </c>
      <c r="D3" s="1" t="s">
        <v>305</v>
      </c>
      <c r="E3" s="1">
        <v>4</v>
      </c>
    </row>
    <row r="4" spans="1:5">
      <c r="A4" s="1">
        <v>2</v>
      </c>
      <c r="B4" s="1"/>
      <c r="C4" s="1" t="s">
        <v>302</v>
      </c>
      <c r="D4" s="1" t="s">
        <v>306</v>
      </c>
      <c r="E4" s="1">
        <v>4</v>
      </c>
    </row>
    <row r="5" spans="1:5">
      <c r="A5" s="1"/>
      <c r="B5" s="1"/>
      <c r="C5" s="3" t="s">
        <v>7</v>
      </c>
      <c r="D5" s="1"/>
      <c r="E5" s="1"/>
    </row>
    <row r="6" spans="1:5">
      <c r="A6" s="1">
        <v>3</v>
      </c>
      <c r="B6" s="1"/>
      <c r="C6" s="1" t="s">
        <v>83</v>
      </c>
      <c r="D6" s="1" t="s">
        <v>307</v>
      </c>
      <c r="E6" s="1">
        <v>3</v>
      </c>
    </row>
    <row r="7" spans="1:5">
      <c r="A7" s="1">
        <v>4</v>
      </c>
      <c r="B7" s="1"/>
      <c r="C7" s="1" t="s">
        <v>87</v>
      </c>
      <c r="D7" s="1" t="s">
        <v>308</v>
      </c>
      <c r="E7" s="1">
        <v>3</v>
      </c>
    </row>
    <row r="8" spans="1:5">
      <c r="A8" s="1">
        <v>5</v>
      </c>
      <c r="B8" s="1"/>
      <c r="C8" s="1" t="s">
        <v>81</v>
      </c>
      <c r="D8" s="1" t="s">
        <v>309</v>
      </c>
      <c r="E8" s="1">
        <v>6</v>
      </c>
    </row>
    <row r="9" spans="1:5">
      <c r="A9" s="1">
        <v>6</v>
      </c>
      <c r="B9" s="1"/>
      <c r="C9" s="1" t="s">
        <v>88</v>
      </c>
      <c r="D9" s="20">
        <v>21</v>
      </c>
      <c r="E9" s="1">
        <v>1</v>
      </c>
    </row>
    <row r="10" spans="1:5">
      <c r="A10" s="1">
        <v>7</v>
      </c>
      <c r="B10" s="1"/>
      <c r="C10" s="1" t="s">
        <v>89</v>
      </c>
      <c r="D10" s="20">
        <v>22</v>
      </c>
      <c r="E10" s="1">
        <v>1</v>
      </c>
    </row>
    <row r="11" spans="1:5">
      <c r="A11" s="1">
        <v>8</v>
      </c>
      <c r="B11" s="1"/>
      <c r="C11" s="1" t="s">
        <v>85</v>
      </c>
      <c r="D11" s="1" t="s">
        <v>310</v>
      </c>
      <c r="E11" s="1">
        <v>3</v>
      </c>
    </row>
    <row r="12" spans="1:5">
      <c r="A12" s="1">
        <v>9</v>
      </c>
      <c r="B12" s="1"/>
      <c r="C12" s="1" t="s">
        <v>82</v>
      </c>
      <c r="D12" s="1" t="s">
        <v>311</v>
      </c>
      <c r="E12" s="1">
        <v>3</v>
      </c>
    </row>
    <row r="13" spans="1:5">
      <c r="A13" s="1">
        <v>10</v>
      </c>
      <c r="B13" s="1"/>
      <c r="C13" s="1" t="s">
        <v>86</v>
      </c>
      <c r="D13" s="1" t="s">
        <v>312</v>
      </c>
      <c r="E13" s="1">
        <v>6</v>
      </c>
    </row>
    <row r="14" spans="1:5">
      <c r="A14" s="1">
        <v>11</v>
      </c>
      <c r="B14" s="1"/>
      <c r="C14" s="1" t="s">
        <v>84</v>
      </c>
      <c r="D14" s="1" t="s">
        <v>313</v>
      </c>
      <c r="E14" s="1">
        <v>3</v>
      </c>
    </row>
    <row r="15" spans="1:5">
      <c r="A15" s="1">
        <v>12</v>
      </c>
      <c r="B15" s="1"/>
      <c r="C15" s="1" t="s">
        <v>303</v>
      </c>
      <c r="D15" s="1" t="s">
        <v>314</v>
      </c>
      <c r="E15" s="1">
        <v>3</v>
      </c>
    </row>
    <row r="16" spans="1:5">
      <c r="A16" s="1">
        <v>13</v>
      </c>
      <c r="B16" s="1"/>
      <c r="C16" s="1" t="s">
        <v>304</v>
      </c>
      <c r="D16" s="1" t="s">
        <v>315</v>
      </c>
      <c r="E16" s="1">
        <v>3</v>
      </c>
    </row>
    <row r="17" spans="4:5">
      <c r="D17" s="64" t="s">
        <v>90</v>
      </c>
      <c r="E17" s="64">
        <f>E3+E4+E6+E7+E8+E9+E10+E11+E12+E13+E14+E15+E16</f>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51009-03C8-40D1-AA7E-28C10E34B6D0}">
  <dimension ref="A1"/>
  <sheetViews>
    <sheetView zoomScale="85" zoomScaleNormal="85" workbookViewId="0"/>
  </sheetViews>
  <sheetFormatPr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114F7-6132-4D8D-9125-5861DEE85A71}">
  <dimension ref="A1:F327"/>
  <sheetViews>
    <sheetView workbookViewId="0">
      <selection activeCell="D2" sqref="D2"/>
    </sheetView>
  </sheetViews>
  <sheetFormatPr defaultRowHeight="15"/>
  <cols>
    <col min="1" max="1" customWidth="true" width="8.140625" collapsed="true"/>
    <col min="2" max="2" customWidth="true" width="63.42578125" collapsed="true"/>
    <col min="3" max="3" customWidth="true" style="10" width="62.85546875" collapsed="true"/>
    <col min="4" max="4" customWidth="true" style="10" width="15.0" collapsed="true"/>
    <col min="5" max="5" customWidth="true" style="70" width="12.7109375" collapsed="true"/>
    <col min="6" max="6" style="70" width="9.140625" collapsed="true"/>
  </cols>
  <sheetData>
    <row r="1" spans="1:6">
      <c r="A1" s="62" t="s">
        <v>130</v>
      </c>
      <c r="B1" s="62" t="s">
        <v>131</v>
      </c>
      <c r="C1" s="62" t="s">
        <v>132</v>
      </c>
      <c r="D1" s="62" t="s">
        <v>1168</v>
      </c>
      <c r="E1" s="62" t="s">
        <v>325</v>
      </c>
      <c r="F1" s="62" t="s">
        <v>326</v>
      </c>
    </row>
    <row r="2" spans="1:6">
      <c r="A2" s="63" t="s">
        <v>133</v>
      </c>
      <c r="B2" s="63" t="s">
        <v>134</v>
      </c>
      <c r="C2" s="63" t="s">
        <v>135</v>
      </c>
      <c r="D2" s="63"/>
      <c r="E2" s="1" t="s">
        <v>76</v>
      </c>
      <c r="F2" s="1" t="s">
        <v>336</v>
      </c>
    </row>
    <row r="3" spans="1:6">
      <c r="A3" s="63" t="s">
        <v>136</v>
      </c>
      <c r="B3" s="63" t="s">
        <v>137</v>
      </c>
      <c r="C3" s="63" t="s">
        <v>138</v>
      </c>
      <c r="D3" s="63"/>
      <c r="E3" s="1" t="s">
        <v>76</v>
      </c>
      <c r="F3" s="1" t="s">
        <v>336</v>
      </c>
    </row>
    <row r="4" spans="1:6">
      <c r="A4" s="63" t="s">
        <v>139</v>
      </c>
      <c r="B4" s="63" t="s">
        <v>140</v>
      </c>
      <c r="C4" s="63" t="s">
        <v>141</v>
      </c>
      <c r="D4" s="63"/>
      <c r="E4" s="1" t="s">
        <v>76</v>
      </c>
      <c r="F4" s="1" t="s">
        <v>336</v>
      </c>
    </row>
    <row r="5" spans="1:6">
      <c r="A5" s="63" t="s">
        <v>142</v>
      </c>
      <c r="B5" s="63" t="s">
        <v>143</v>
      </c>
      <c r="C5" s="63" t="s">
        <v>144</v>
      </c>
      <c r="D5" s="63"/>
      <c r="E5" s="1" t="s">
        <v>76</v>
      </c>
      <c r="F5" s="1" t="s">
        <v>336</v>
      </c>
    </row>
    <row r="6" spans="1:6">
      <c r="A6" s="63" t="s">
        <v>145</v>
      </c>
      <c r="B6" s="63" t="s">
        <v>146</v>
      </c>
      <c r="C6" s="63" t="s">
        <v>147</v>
      </c>
      <c r="D6" s="63"/>
      <c r="E6" s="1" t="s">
        <v>76</v>
      </c>
      <c r="F6" s="1" t="s">
        <v>336</v>
      </c>
    </row>
    <row r="7" spans="1:6">
      <c r="A7" s="63" t="s">
        <v>148</v>
      </c>
      <c r="B7" s="63" t="s">
        <v>149</v>
      </c>
      <c r="C7" s="63" t="s">
        <v>150</v>
      </c>
      <c r="D7" s="63"/>
      <c r="E7" s="1" t="s">
        <v>76</v>
      </c>
      <c r="F7" s="1" t="s">
        <v>336</v>
      </c>
    </row>
    <row r="8" spans="1:6">
      <c r="A8" s="63" t="s">
        <v>151</v>
      </c>
      <c r="B8" s="63" t="s">
        <v>152</v>
      </c>
      <c r="C8" s="63" t="s">
        <v>153</v>
      </c>
      <c r="D8" s="63"/>
      <c r="E8" s="1" t="s">
        <v>76</v>
      </c>
      <c r="F8" s="1" t="s">
        <v>336</v>
      </c>
    </row>
    <row r="9" spans="1:6">
      <c r="A9" s="63" t="s">
        <v>154</v>
      </c>
      <c r="B9" s="63" t="s">
        <v>155</v>
      </c>
      <c r="C9" s="63" t="s">
        <v>156</v>
      </c>
      <c r="D9" s="63"/>
      <c r="E9" s="1" t="s">
        <v>76</v>
      </c>
      <c r="F9" s="1" t="s">
        <v>336</v>
      </c>
    </row>
    <row r="10" spans="1:6">
      <c r="A10" s="63" t="s">
        <v>157</v>
      </c>
      <c r="B10" s="63" t="s">
        <v>158</v>
      </c>
      <c r="C10" s="63" t="s">
        <v>159</v>
      </c>
      <c r="D10" s="63"/>
      <c r="E10" s="1" t="s">
        <v>76</v>
      </c>
      <c r="F10" s="1" t="s">
        <v>336</v>
      </c>
    </row>
    <row r="11" spans="1:6" ht="30">
      <c r="A11" s="63" t="s">
        <v>160</v>
      </c>
      <c r="B11" s="63" t="s">
        <v>161</v>
      </c>
      <c r="C11" s="63" t="s">
        <v>162</v>
      </c>
      <c r="D11" s="63"/>
      <c r="E11" s="1" t="s">
        <v>76</v>
      </c>
      <c r="F11" s="1" t="s">
        <v>336</v>
      </c>
    </row>
    <row r="12" spans="1:6" ht="30">
      <c r="A12" s="63" t="s">
        <v>163</v>
      </c>
      <c r="B12" s="63" t="s">
        <v>164</v>
      </c>
      <c r="C12" s="63" t="s">
        <v>165</v>
      </c>
      <c r="D12" s="63"/>
      <c r="E12" s="1" t="s">
        <v>76</v>
      </c>
      <c r="F12" s="1" t="s">
        <v>336</v>
      </c>
    </row>
    <row r="13" spans="1:6" ht="30">
      <c r="A13" s="63" t="s">
        <v>166</v>
      </c>
      <c r="B13" s="63" t="s">
        <v>167</v>
      </c>
      <c r="C13" s="63" t="s">
        <v>168</v>
      </c>
      <c r="D13" s="63"/>
      <c r="E13" s="1" t="s">
        <v>76</v>
      </c>
      <c r="F13" s="1" t="s">
        <v>336</v>
      </c>
    </row>
    <row r="14" spans="1:6">
      <c r="A14" s="63" t="s">
        <v>169</v>
      </c>
      <c r="B14" s="63" t="s">
        <v>170</v>
      </c>
      <c r="C14" s="63" t="s">
        <v>171</v>
      </c>
      <c r="D14" s="63"/>
      <c r="E14" s="1" t="s">
        <v>76</v>
      </c>
      <c r="F14" s="1" t="s">
        <v>336</v>
      </c>
    </row>
    <row r="15" spans="1:6">
      <c r="A15" s="63" t="s">
        <v>172</v>
      </c>
      <c r="B15" s="63" t="s">
        <v>173</v>
      </c>
      <c r="C15" s="63" t="s">
        <v>174</v>
      </c>
      <c r="D15" s="63"/>
      <c r="E15" s="1" t="s">
        <v>76</v>
      </c>
      <c r="F15" s="1" t="s">
        <v>336</v>
      </c>
    </row>
    <row r="16" spans="1:6" ht="30">
      <c r="A16" s="63" t="s">
        <v>175</v>
      </c>
      <c r="B16" s="63" t="s">
        <v>176</v>
      </c>
      <c r="C16" s="63" t="s">
        <v>177</v>
      </c>
      <c r="D16" s="63"/>
      <c r="E16" s="1" t="s">
        <v>76</v>
      </c>
      <c r="F16" s="1" t="s">
        <v>336</v>
      </c>
    </row>
    <row r="17" spans="1:6" ht="30">
      <c r="A17" s="63" t="s">
        <v>178</v>
      </c>
      <c r="B17" s="63" t="s">
        <v>179</v>
      </c>
      <c r="C17" s="63" t="s">
        <v>180</v>
      </c>
      <c r="D17" s="63"/>
      <c r="E17" s="1" t="s">
        <v>76</v>
      </c>
      <c r="F17" s="1" t="s">
        <v>336</v>
      </c>
    </row>
    <row r="18" spans="1:6">
      <c r="A18" s="63" t="s">
        <v>181</v>
      </c>
      <c r="B18" s="63" t="s">
        <v>182</v>
      </c>
      <c r="C18" s="63" t="s">
        <v>183</v>
      </c>
      <c r="D18" s="63"/>
      <c r="E18" s="1" t="s">
        <v>76</v>
      </c>
      <c r="F18" s="1" t="s">
        <v>336</v>
      </c>
    </row>
    <row r="19" spans="1:6" ht="30">
      <c r="A19" s="63" t="s">
        <v>184</v>
      </c>
      <c r="B19" s="63" t="s">
        <v>185</v>
      </c>
      <c r="C19" s="63" t="s">
        <v>186</v>
      </c>
      <c r="D19" s="63"/>
      <c r="E19" s="1" t="s">
        <v>76</v>
      </c>
      <c r="F19" s="1" t="s">
        <v>336</v>
      </c>
    </row>
    <row r="20" spans="1:6">
      <c r="A20" s="63" t="s">
        <v>187</v>
      </c>
      <c r="B20" s="63" t="s">
        <v>188</v>
      </c>
      <c r="C20" s="63" t="s">
        <v>189</v>
      </c>
      <c r="D20" s="63"/>
      <c r="E20" s="1" t="s">
        <v>76</v>
      </c>
      <c r="F20" s="1" t="s">
        <v>336</v>
      </c>
    </row>
    <row r="21" spans="1:6">
      <c r="A21" s="63" t="s">
        <v>190</v>
      </c>
      <c r="B21" s="63" t="s">
        <v>146</v>
      </c>
      <c r="C21" s="63" t="s">
        <v>147</v>
      </c>
      <c r="D21" s="63"/>
      <c r="E21" s="1" t="s">
        <v>76</v>
      </c>
      <c r="F21" s="1" t="s">
        <v>336</v>
      </c>
    </row>
    <row r="22" spans="1:6" ht="30">
      <c r="A22" s="63" t="s">
        <v>191</v>
      </c>
      <c r="B22" s="63" t="s">
        <v>192</v>
      </c>
      <c r="C22" s="63" t="s">
        <v>193</v>
      </c>
      <c r="D22" s="63"/>
      <c r="E22" s="1" t="s">
        <v>76</v>
      </c>
      <c r="F22" s="1" t="s">
        <v>336</v>
      </c>
    </row>
    <row r="23" spans="1:6" ht="30">
      <c r="A23" s="63" t="s">
        <v>194</v>
      </c>
      <c r="B23" s="63" t="s">
        <v>195</v>
      </c>
      <c r="C23" s="63" t="s">
        <v>196</v>
      </c>
      <c r="D23" s="63"/>
      <c r="E23" s="1" t="s">
        <v>76</v>
      </c>
      <c r="F23" s="1" t="s">
        <v>336</v>
      </c>
    </row>
    <row r="24" spans="1:6" ht="30">
      <c r="A24" s="63" t="s">
        <v>197</v>
      </c>
      <c r="B24" s="63" t="s">
        <v>198</v>
      </c>
      <c r="C24" s="63" t="s">
        <v>199</v>
      </c>
      <c r="D24" s="63"/>
      <c r="E24" s="1" t="s">
        <v>76</v>
      </c>
      <c r="F24" s="1" t="s">
        <v>336</v>
      </c>
    </row>
    <row r="25" spans="1:6" ht="30">
      <c r="A25" s="63" t="s">
        <v>200</v>
      </c>
      <c r="B25" s="63" t="s">
        <v>201</v>
      </c>
      <c r="C25" s="63" t="s">
        <v>202</v>
      </c>
      <c r="D25" s="63"/>
      <c r="E25" s="1" t="s">
        <v>76</v>
      </c>
      <c r="F25" s="1" t="s">
        <v>336</v>
      </c>
    </row>
    <row r="26" spans="1:6">
      <c r="A26" s="63" t="s">
        <v>203</v>
      </c>
      <c r="B26" s="63" t="s">
        <v>204</v>
      </c>
      <c r="C26" s="63" t="s">
        <v>205</v>
      </c>
      <c r="D26" s="63"/>
      <c r="E26" s="1" t="s">
        <v>76</v>
      </c>
      <c r="F26" s="1" t="s">
        <v>336</v>
      </c>
    </row>
    <row r="27" spans="1:6">
      <c r="A27" s="63" t="s">
        <v>206</v>
      </c>
      <c r="B27" s="63" t="s">
        <v>207</v>
      </c>
      <c r="C27" s="63" t="s">
        <v>208</v>
      </c>
      <c r="D27" s="63"/>
      <c r="E27" s="1" t="s">
        <v>76</v>
      </c>
      <c r="F27" s="1" t="s">
        <v>336</v>
      </c>
    </row>
    <row r="28" spans="1:6">
      <c r="A28" s="63" t="s">
        <v>209</v>
      </c>
      <c r="B28" s="63" t="s">
        <v>210</v>
      </c>
      <c r="C28" s="63" t="s">
        <v>211</v>
      </c>
      <c r="D28" s="63"/>
      <c r="E28" s="1" t="s">
        <v>76</v>
      </c>
      <c r="F28" s="1" t="s">
        <v>336</v>
      </c>
    </row>
    <row r="29" spans="1:6">
      <c r="A29" s="63" t="s">
        <v>212</v>
      </c>
      <c r="B29" s="63" t="s">
        <v>213</v>
      </c>
      <c r="C29" s="63" t="s">
        <v>214</v>
      </c>
      <c r="D29" s="63"/>
      <c r="E29" s="1" t="s">
        <v>76</v>
      </c>
      <c r="F29" s="1" t="s">
        <v>336</v>
      </c>
    </row>
    <row r="30" spans="1:6" ht="30">
      <c r="A30" s="63" t="s">
        <v>215</v>
      </c>
      <c r="B30" s="63" t="s">
        <v>216</v>
      </c>
      <c r="C30" s="63" t="s">
        <v>217</v>
      </c>
      <c r="D30" s="63"/>
      <c r="E30" s="1" t="s">
        <v>76</v>
      </c>
      <c r="F30" s="1" t="s">
        <v>336</v>
      </c>
    </row>
    <row r="31" spans="1:6">
      <c r="A31" s="63" t="s">
        <v>218</v>
      </c>
      <c r="B31" s="63" t="s">
        <v>219</v>
      </c>
      <c r="C31" s="63" t="s">
        <v>220</v>
      </c>
      <c r="D31" s="63"/>
      <c r="E31" s="1" t="s">
        <v>76</v>
      </c>
      <c r="F31" s="1" t="s">
        <v>336</v>
      </c>
    </row>
    <row r="32" spans="1:6">
      <c r="A32" s="63" t="s">
        <v>221</v>
      </c>
      <c r="B32" s="63" t="s">
        <v>222</v>
      </c>
      <c r="C32" s="63" t="s">
        <v>223</v>
      </c>
      <c r="D32" s="63"/>
      <c r="E32" s="1" t="s">
        <v>76</v>
      </c>
      <c r="F32" s="1" t="s">
        <v>336</v>
      </c>
    </row>
    <row r="33" spans="1:6">
      <c r="A33" s="63" t="s">
        <v>224</v>
      </c>
      <c r="B33" s="63" t="s">
        <v>225</v>
      </c>
      <c r="C33" s="63" t="s">
        <v>226</v>
      </c>
      <c r="D33" s="63"/>
      <c r="E33" s="1" t="s">
        <v>76</v>
      </c>
      <c r="F33" s="1" t="s">
        <v>336</v>
      </c>
    </row>
    <row r="34" spans="1:6">
      <c r="A34" s="63" t="s">
        <v>227</v>
      </c>
      <c r="B34" s="63" t="s">
        <v>228</v>
      </c>
      <c r="C34" s="63" t="s">
        <v>229</v>
      </c>
      <c r="D34" s="63"/>
      <c r="E34" s="1" t="s">
        <v>76</v>
      </c>
      <c r="F34" s="1" t="s">
        <v>336</v>
      </c>
    </row>
    <row r="35" spans="1:6">
      <c r="A35" s="63" t="s">
        <v>230</v>
      </c>
      <c r="B35" s="63" t="s">
        <v>231</v>
      </c>
      <c r="C35" s="63" t="s">
        <v>232</v>
      </c>
      <c r="D35" s="63"/>
      <c r="E35" s="1" t="s">
        <v>76</v>
      </c>
      <c r="F35" s="1" t="s">
        <v>336</v>
      </c>
    </row>
    <row r="36" spans="1:6">
      <c r="A36" s="63" t="s">
        <v>233</v>
      </c>
      <c r="B36" s="63" t="s">
        <v>234</v>
      </c>
      <c r="C36" s="63" t="s">
        <v>235</v>
      </c>
      <c r="D36" s="63"/>
      <c r="E36" s="1" t="s">
        <v>76</v>
      </c>
      <c r="F36" s="1" t="s">
        <v>336</v>
      </c>
    </row>
    <row r="37" spans="1:6">
      <c r="A37" s="63" t="s">
        <v>236</v>
      </c>
      <c r="B37" s="63" t="s">
        <v>237</v>
      </c>
      <c r="C37" s="63" t="s">
        <v>211</v>
      </c>
      <c r="D37" s="63"/>
      <c r="E37" s="1" t="s">
        <v>76</v>
      </c>
      <c r="F37" s="1" t="s">
        <v>336</v>
      </c>
    </row>
    <row r="38" spans="1:6" ht="30">
      <c r="A38" s="63" t="s">
        <v>238</v>
      </c>
      <c r="B38" s="63" t="s">
        <v>239</v>
      </c>
      <c r="C38" s="63" t="s">
        <v>240</v>
      </c>
      <c r="D38" s="63"/>
      <c r="E38" s="1" t="s">
        <v>76</v>
      </c>
      <c r="F38" s="1" t="s">
        <v>336</v>
      </c>
    </row>
    <row r="39" spans="1:6">
      <c r="A39" s="63" t="s">
        <v>241</v>
      </c>
      <c r="B39" s="63" t="s">
        <v>242</v>
      </c>
      <c r="C39" s="63" t="s">
        <v>243</v>
      </c>
      <c r="D39" s="63"/>
      <c r="E39" s="1" t="s">
        <v>76</v>
      </c>
      <c r="F39" s="1" t="s">
        <v>336</v>
      </c>
    </row>
    <row r="40" spans="1:6">
      <c r="A40" s="63" t="s">
        <v>244</v>
      </c>
      <c r="B40" s="63" t="s">
        <v>245</v>
      </c>
      <c r="C40" s="63" t="s">
        <v>246</v>
      </c>
      <c r="D40" s="63"/>
      <c r="E40" s="1" t="s">
        <v>76</v>
      </c>
      <c r="F40" s="1" t="s">
        <v>336</v>
      </c>
    </row>
    <row r="41" spans="1:6">
      <c r="A41" s="63" t="s">
        <v>247</v>
      </c>
      <c r="B41" s="63" t="s">
        <v>248</v>
      </c>
      <c r="C41" s="63" t="s">
        <v>249</v>
      </c>
      <c r="D41" s="63"/>
      <c r="E41" s="1" t="s">
        <v>76</v>
      </c>
      <c r="F41" s="1" t="s">
        <v>336</v>
      </c>
    </row>
    <row r="42" spans="1:6">
      <c r="A42" s="63" t="s">
        <v>250</v>
      </c>
      <c r="B42" s="63" t="s">
        <v>251</v>
      </c>
      <c r="C42" s="63" t="s">
        <v>252</v>
      </c>
      <c r="D42" s="63"/>
      <c r="E42" s="1" t="s">
        <v>76</v>
      </c>
      <c r="F42" s="1" t="s">
        <v>336</v>
      </c>
    </row>
    <row r="43" spans="1:6">
      <c r="A43" s="63" t="s">
        <v>253</v>
      </c>
      <c r="B43" s="63" t="s">
        <v>254</v>
      </c>
      <c r="C43" s="63" t="s">
        <v>255</v>
      </c>
      <c r="D43" s="63"/>
      <c r="E43" s="1" t="s">
        <v>76</v>
      </c>
      <c r="F43" s="1" t="s">
        <v>336</v>
      </c>
    </row>
    <row r="44" spans="1:6">
      <c r="A44" s="63" t="s">
        <v>256</v>
      </c>
      <c r="B44" s="63" t="s">
        <v>257</v>
      </c>
      <c r="C44" s="63" t="s">
        <v>258</v>
      </c>
      <c r="D44" s="63"/>
      <c r="E44" s="1" t="s">
        <v>76</v>
      </c>
      <c r="F44" s="1" t="s">
        <v>336</v>
      </c>
    </row>
    <row r="45" spans="1:6">
      <c r="A45" s="63" t="s">
        <v>259</v>
      </c>
      <c r="B45" s="63" t="s">
        <v>260</v>
      </c>
      <c r="C45" s="63" t="s">
        <v>261</v>
      </c>
      <c r="D45" s="63"/>
      <c r="E45" s="1" t="s">
        <v>76</v>
      </c>
      <c r="F45" s="1" t="s">
        <v>336</v>
      </c>
    </row>
    <row r="46" spans="1:6">
      <c r="A46" s="63" t="s">
        <v>262</v>
      </c>
      <c r="B46" s="63" t="s">
        <v>263</v>
      </c>
      <c r="C46" s="63" t="s">
        <v>264</v>
      </c>
      <c r="D46" s="63"/>
      <c r="E46" s="1" t="s">
        <v>76</v>
      </c>
      <c r="F46" s="1" t="s">
        <v>336</v>
      </c>
    </row>
    <row r="47" spans="1:6">
      <c r="A47" s="63" t="s">
        <v>265</v>
      </c>
      <c r="B47" s="63" t="s">
        <v>266</v>
      </c>
      <c r="C47" s="63" t="s">
        <v>267</v>
      </c>
      <c r="D47" s="63"/>
      <c r="E47" s="1" t="s">
        <v>76</v>
      </c>
      <c r="F47" s="1" t="s">
        <v>336</v>
      </c>
    </row>
    <row r="48" spans="1:6">
      <c r="A48" s="63" t="s">
        <v>268</v>
      </c>
      <c r="B48" s="63" t="s">
        <v>269</v>
      </c>
      <c r="C48" s="63" t="s">
        <v>270</v>
      </c>
      <c r="D48" s="63"/>
      <c r="E48" s="1" t="s">
        <v>76</v>
      </c>
      <c r="F48" s="1" t="s">
        <v>336</v>
      </c>
    </row>
    <row r="49" spans="1:6">
      <c r="A49" s="63" t="s">
        <v>271</v>
      </c>
      <c r="B49" s="63" t="s">
        <v>272</v>
      </c>
      <c r="C49" s="63" t="s">
        <v>273</v>
      </c>
      <c r="D49" s="63"/>
      <c r="E49" s="1" t="s">
        <v>76</v>
      </c>
      <c r="F49" s="1" t="s">
        <v>336</v>
      </c>
    </row>
    <row r="50" spans="1:6">
      <c r="A50" s="63" t="s">
        <v>274</v>
      </c>
      <c r="B50" s="63" t="s">
        <v>275</v>
      </c>
      <c r="C50" s="63" t="s">
        <v>276</v>
      </c>
      <c r="D50" s="63"/>
      <c r="E50" s="1" t="s">
        <v>76</v>
      </c>
      <c r="F50" s="1" t="s">
        <v>336</v>
      </c>
    </row>
    <row r="51" spans="1:6">
      <c r="A51" s="63" t="s">
        <v>277</v>
      </c>
      <c r="B51" s="63" t="s">
        <v>278</v>
      </c>
      <c r="C51" s="63" t="s">
        <v>279</v>
      </c>
      <c r="D51" s="63"/>
      <c r="E51" s="1" t="s">
        <v>76</v>
      </c>
      <c r="F51" s="1" t="s">
        <v>336</v>
      </c>
    </row>
    <row r="52" spans="1:6" ht="30">
      <c r="A52" s="63" t="s">
        <v>280</v>
      </c>
      <c r="B52" s="63" t="s">
        <v>281</v>
      </c>
      <c r="C52" s="63" t="s">
        <v>282</v>
      </c>
      <c r="D52" s="63"/>
      <c r="E52" s="1" t="s">
        <v>76</v>
      </c>
      <c r="F52" s="1" t="s">
        <v>336</v>
      </c>
    </row>
    <row r="53" spans="1:6" ht="30">
      <c r="A53" s="63" t="s">
        <v>283</v>
      </c>
      <c r="B53" s="63" t="s">
        <v>284</v>
      </c>
      <c r="C53" s="63" t="s">
        <v>285</v>
      </c>
      <c r="D53" s="63"/>
      <c r="E53" s="1" t="s">
        <v>76</v>
      </c>
      <c r="F53" s="1" t="s">
        <v>336</v>
      </c>
    </row>
    <row r="54" spans="1:6">
      <c r="A54" s="63" t="s">
        <v>286</v>
      </c>
      <c r="B54" s="63" t="s">
        <v>287</v>
      </c>
      <c r="C54" s="63" t="s">
        <v>288</v>
      </c>
      <c r="D54" s="63"/>
      <c r="E54" s="1" t="s">
        <v>76</v>
      </c>
      <c r="F54" s="1" t="s">
        <v>336</v>
      </c>
    </row>
    <row r="55" spans="1:6">
      <c r="A55" s="63" t="s">
        <v>289</v>
      </c>
      <c r="B55" s="63" t="s">
        <v>290</v>
      </c>
      <c r="C55" s="63" t="s">
        <v>291</v>
      </c>
      <c r="D55" s="63"/>
      <c r="E55" s="1" t="s">
        <v>76</v>
      </c>
      <c r="F55" s="1" t="s">
        <v>336</v>
      </c>
    </row>
    <row r="56" spans="1:6" ht="30">
      <c r="A56" s="63" t="s">
        <v>292</v>
      </c>
      <c r="B56" s="63" t="s">
        <v>293</v>
      </c>
      <c r="C56" s="63" t="s">
        <v>294</v>
      </c>
      <c r="D56" s="63"/>
      <c r="E56" s="1" t="s">
        <v>76</v>
      </c>
      <c r="F56" s="1" t="s">
        <v>336</v>
      </c>
    </row>
    <row r="57" spans="1:6">
      <c r="A57" s="63" t="s">
        <v>295</v>
      </c>
      <c r="B57" s="63" t="s">
        <v>296</v>
      </c>
      <c r="C57" s="63" t="s">
        <v>297</v>
      </c>
      <c r="D57" s="63"/>
      <c r="E57" s="1" t="s">
        <v>76</v>
      </c>
      <c r="F57" s="1" t="s">
        <v>336</v>
      </c>
    </row>
    <row r="58" spans="1:6">
      <c r="A58" s="63" t="s">
        <v>298</v>
      </c>
      <c r="B58" s="63" t="s">
        <v>299</v>
      </c>
      <c r="C58" s="63" t="s">
        <v>300</v>
      </c>
      <c r="D58" s="63"/>
      <c r="E58" s="1" t="s">
        <v>76</v>
      </c>
      <c r="F58" s="1" t="s">
        <v>336</v>
      </c>
    </row>
    <row r="59" spans="1:6">
      <c r="A59" s="63" t="s">
        <v>1164</v>
      </c>
      <c r="B59" s="63" t="s">
        <v>1165</v>
      </c>
      <c r="C59" s="63" t="s">
        <v>1166</v>
      </c>
      <c r="D59" s="63"/>
      <c r="E59" s="1" t="s">
        <v>76</v>
      </c>
      <c r="F59" s="1" t="s">
        <v>336</v>
      </c>
    </row>
    <row r="60" spans="1:6">
      <c r="E60"/>
      <c r="F60"/>
    </row>
    <row r="61" spans="1:6">
      <c r="E61"/>
      <c r="F61"/>
    </row>
    <row r="62" spans="1:6">
      <c r="E62"/>
      <c r="F62"/>
    </row>
    <row r="63" spans="1:6">
      <c r="E63"/>
      <c r="F63"/>
    </row>
    <row r="64" spans="1:6">
      <c r="E64"/>
      <c r="F64"/>
    </row>
    <row r="65" spans="5:6">
      <c r="E65"/>
      <c r="F65"/>
    </row>
    <row r="66" spans="5:6">
      <c r="E66"/>
      <c r="F66"/>
    </row>
    <row r="67" spans="5:6">
      <c r="E67"/>
      <c r="F67"/>
    </row>
    <row r="68" spans="5:6">
      <c r="E68"/>
      <c r="F68"/>
    </row>
    <row r="69" spans="5:6">
      <c r="E69"/>
      <c r="F69"/>
    </row>
    <row r="70" spans="5:6">
      <c r="E70"/>
      <c r="F70"/>
    </row>
    <row r="71" spans="5:6">
      <c r="E71"/>
      <c r="F71"/>
    </row>
    <row r="72" spans="5:6">
      <c r="E72"/>
      <c r="F72"/>
    </row>
    <row r="73" spans="5:6">
      <c r="E73"/>
      <c r="F73"/>
    </row>
    <row r="74" spans="5:6">
      <c r="E74"/>
      <c r="F74"/>
    </row>
    <row r="75" spans="5:6">
      <c r="E75"/>
      <c r="F75"/>
    </row>
    <row r="76" spans="5:6">
      <c r="E76"/>
      <c r="F76"/>
    </row>
    <row r="77" spans="5:6">
      <c r="E77"/>
      <c r="F77"/>
    </row>
    <row r="78" spans="5:6">
      <c r="E78"/>
      <c r="F78"/>
    </row>
    <row r="79" spans="5:6">
      <c r="E79"/>
      <c r="F79"/>
    </row>
    <row r="80" spans="5:6">
      <c r="E80"/>
      <c r="F80"/>
    </row>
    <row r="81" spans="5:6">
      <c r="E81"/>
      <c r="F81"/>
    </row>
    <row r="82" spans="5:6">
      <c r="E82"/>
      <c r="F82"/>
    </row>
    <row r="83" spans="5:6">
      <c r="E83"/>
      <c r="F83"/>
    </row>
    <row r="84" spans="5:6">
      <c r="E84"/>
      <c r="F84"/>
    </row>
    <row r="85" spans="5:6">
      <c r="E85"/>
      <c r="F85"/>
    </row>
    <row r="86" spans="5:6">
      <c r="E86"/>
      <c r="F86"/>
    </row>
    <row r="87" spans="5:6">
      <c r="E87"/>
      <c r="F87"/>
    </row>
    <row r="88" spans="5:6">
      <c r="E88"/>
      <c r="F88"/>
    </row>
    <row r="89" spans="5:6">
      <c r="E89"/>
      <c r="F89"/>
    </row>
    <row r="90" spans="5:6">
      <c r="E90"/>
      <c r="F90"/>
    </row>
    <row r="91" spans="5:6">
      <c r="E91"/>
      <c r="F91"/>
    </row>
    <row r="92" spans="5:6">
      <c r="E92"/>
      <c r="F92"/>
    </row>
    <row r="93" spans="5:6">
      <c r="E93"/>
      <c r="F93"/>
    </row>
    <row r="94" spans="5:6">
      <c r="E94"/>
      <c r="F94"/>
    </row>
    <row r="95" spans="5:6">
      <c r="E95"/>
      <c r="F95"/>
    </row>
    <row r="96" spans="5:6">
      <c r="E96"/>
      <c r="F96"/>
    </row>
    <row r="97" spans="5:6">
      <c r="E97"/>
      <c r="F97"/>
    </row>
    <row r="98" spans="5:6">
      <c r="E98"/>
      <c r="F98"/>
    </row>
    <row r="99" spans="5:6">
      <c r="E99"/>
      <c r="F99"/>
    </row>
    <row r="100" spans="5:6">
      <c r="E100"/>
      <c r="F100"/>
    </row>
    <row r="101" spans="5:6">
      <c r="E101"/>
      <c r="F101"/>
    </row>
    <row r="102" spans="5:6">
      <c r="E102"/>
      <c r="F102"/>
    </row>
    <row r="103" spans="5:6">
      <c r="E103"/>
      <c r="F103"/>
    </row>
    <row r="104" spans="5:6">
      <c r="E104"/>
      <c r="F104"/>
    </row>
    <row r="105" spans="5:6">
      <c r="E105"/>
      <c r="F105"/>
    </row>
    <row r="106" spans="5:6">
      <c r="E106"/>
      <c r="F106"/>
    </row>
    <row r="107" spans="5:6">
      <c r="E107"/>
      <c r="F107"/>
    </row>
    <row r="108" spans="5:6">
      <c r="E108"/>
      <c r="F108"/>
    </row>
    <row r="109" spans="5:6">
      <c r="E109"/>
      <c r="F109"/>
    </row>
    <row r="110" spans="5:6">
      <c r="E110"/>
      <c r="F110"/>
    </row>
    <row r="111" spans="5:6">
      <c r="E111"/>
      <c r="F111"/>
    </row>
    <row r="112" spans="5:6">
      <c r="E112"/>
      <c r="F112"/>
    </row>
    <row r="113" spans="5:6">
      <c r="E113"/>
      <c r="F113"/>
    </row>
    <row r="114" spans="5:6">
      <c r="E114"/>
      <c r="F114"/>
    </row>
    <row r="115" spans="5:6">
      <c r="E115"/>
      <c r="F115"/>
    </row>
    <row r="116" spans="5:6">
      <c r="E116"/>
      <c r="F116"/>
    </row>
    <row r="117" spans="5:6">
      <c r="E117"/>
      <c r="F117"/>
    </row>
    <row r="118" spans="5:6">
      <c r="E118"/>
      <c r="F118"/>
    </row>
    <row r="119" spans="5:6">
      <c r="E119"/>
      <c r="F119"/>
    </row>
    <row r="120" spans="5:6">
      <c r="E120"/>
      <c r="F120"/>
    </row>
    <row r="121" spans="5:6">
      <c r="E121"/>
      <c r="F121"/>
    </row>
    <row r="122" spans="5:6">
      <c r="E122"/>
      <c r="F122"/>
    </row>
    <row r="123" spans="5:6">
      <c r="E123"/>
      <c r="F123"/>
    </row>
    <row r="124" spans="5:6">
      <c r="E124"/>
      <c r="F124"/>
    </row>
    <row r="125" spans="5:6">
      <c r="E125"/>
      <c r="F125"/>
    </row>
    <row r="126" spans="5:6">
      <c r="E126"/>
      <c r="F126"/>
    </row>
    <row r="127" spans="5:6">
      <c r="E127"/>
      <c r="F127"/>
    </row>
    <row r="128" spans="5:6">
      <c r="E128"/>
      <c r="F128"/>
    </row>
    <row r="129" spans="5:6">
      <c r="E129"/>
      <c r="F129"/>
    </row>
    <row r="130" spans="5:6">
      <c r="E130"/>
      <c r="F130"/>
    </row>
    <row r="131" spans="5:6">
      <c r="E131"/>
      <c r="F131"/>
    </row>
    <row r="132" spans="5:6">
      <c r="E132"/>
      <c r="F132"/>
    </row>
    <row r="133" spans="5:6">
      <c r="E133"/>
      <c r="F133"/>
    </row>
    <row r="134" spans="5:6">
      <c r="E134"/>
      <c r="F134"/>
    </row>
    <row r="135" spans="5:6">
      <c r="E135"/>
      <c r="F135"/>
    </row>
    <row r="136" spans="5:6">
      <c r="E136"/>
      <c r="F136"/>
    </row>
    <row r="137" spans="5:6">
      <c r="E137"/>
      <c r="F137"/>
    </row>
    <row r="138" spans="5:6">
      <c r="E138"/>
      <c r="F138"/>
    </row>
    <row r="139" spans="5:6">
      <c r="E139"/>
      <c r="F139"/>
    </row>
    <row r="140" spans="5:6">
      <c r="E140"/>
      <c r="F140"/>
    </row>
    <row r="141" spans="5:6">
      <c r="E141"/>
      <c r="F141"/>
    </row>
    <row r="142" spans="5:6">
      <c r="E142"/>
      <c r="F142"/>
    </row>
    <row r="143" spans="5:6">
      <c r="E143"/>
      <c r="F143"/>
    </row>
    <row r="144" spans="5:6">
      <c r="E144"/>
      <c r="F144"/>
    </row>
    <row r="145" spans="5:6">
      <c r="E145"/>
      <c r="F145"/>
    </row>
    <row r="146" spans="5:6">
      <c r="E146"/>
      <c r="F146"/>
    </row>
    <row r="147" spans="5:6">
      <c r="E147"/>
      <c r="F147"/>
    </row>
    <row r="148" spans="5:6">
      <c r="E148"/>
      <c r="F148"/>
    </row>
    <row r="149" spans="5:6">
      <c r="E149"/>
      <c r="F149"/>
    </row>
    <row r="150" spans="5:6">
      <c r="E150"/>
      <c r="F150"/>
    </row>
    <row r="151" spans="5:6">
      <c r="E151"/>
      <c r="F151"/>
    </row>
    <row r="152" spans="5:6">
      <c r="E152"/>
      <c r="F152"/>
    </row>
    <row r="153" spans="5:6">
      <c r="E153"/>
      <c r="F153"/>
    </row>
    <row r="154" spans="5:6">
      <c r="E154"/>
      <c r="F154"/>
    </row>
    <row r="155" spans="5:6">
      <c r="E155"/>
      <c r="F155"/>
    </row>
    <row r="156" spans="5:6">
      <c r="E156"/>
      <c r="F156"/>
    </row>
    <row r="157" spans="5:6">
      <c r="E157"/>
      <c r="F157"/>
    </row>
    <row r="158" spans="5:6">
      <c r="E158"/>
      <c r="F158"/>
    </row>
    <row r="159" spans="5:6">
      <c r="E159"/>
      <c r="F159"/>
    </row>
    <row r="160" spans="5:6">
      <c r="E160"/>
      <c r="F160"/>
    </row>
    <row r="161" spans="5:6">
      <c r="E161"/>
      <c r="F161"/>
    </row>
    <row r="162" spans="5:6">
      <c r="E162"/>
      <c r="F162"/>
    </row>
    <row r="163" spans="5:6">
      <c r="E163"/>
      <c r="F163"/>
    </row>
    <row r="164" spans="5:6">
      <c r="E164"/>
      <c r="F164"/>
    </row>
    <row r="165" spans="5:6">
      <c r="E165"/>
      <c r="F165"/>
    </row>
    <row r="166" spans="5:6">
      <c r="E166"/>
      <c r="F166"/>
    </row>
    <row r="167" spans="5:6">
      <c r="E167"/>
      <c r="F167"/>
    </row>
    <row r="168" spans="5:6">
      <c r="E168"/>
      <c r="F168"/>
    </row>
    <row r="169" spans="5:6">
      <c r="E169"/>
      <c r="F169"/>
    </row>
    <row r="170" spans="5:6">
      <c r="E170"/>
      <c r="F170"/>
    </row>
    <row r="171" spans="5:6">
      <c r="E171"/>
      <c r="F171"/>
    </row>
    <row r="172" spans="5:6">
      <c r="E172"/>
      <c r="F172"/>
    </row>
    <row r="173" spans="5:6">
      <c r="E173"/>
      <c r="F173"/>
    </row>
    <row r="174" spans="5:6">
      <c r="E174"/>
      <c r="F174"/>
    </row>
    <row r="175" spans="5:6">
      <c r="E175"/>
      <c r="F175"/>
    </row>
    <row r="176" spans="5:6">
      <c r="E176"/>
      <c r="F176"/>
    </row>
    <row r="177" spans="5:6">
      <c r="E177"/>
      <c r="F177"/>
    </row>
    <row r="178" spans="5:6">
      <c r="E178"/>
      <c r="F178"/>
    </row>
    <row r="179" spans="5:6">
      <c r="E179"/>
      <c r="F179"/>
    </row>
    <row r="180" spans="5:6">
      <c r="E180"/>
      <c r="F180"/>
    </row>
    <row r="181" spans="5:6">
      <c r="E181"/>
      <c r="F181"/>
    </row>
    <row r="182" spans="5:6">
      <c r="E182"/>
      <c r="F182"/>
    </row>
    <row r="183" spans="5:6">
      <c r="E183"/>
      <c r="F183"/>
    </row>
    <row r="184" spans="5:6">
      <c r="E184"/>
      <c r="F184"/>
    </row>
    <row r="185" spans="5:6">
      <c r="E185"/>
      <c r="F185"/>
    </row>
    <row r="186" spans="5:6">
      <c r="E186"/>
      <c r="F186"/>
    </row>
    <row r="187" spans="5:6">
      <c r="E187"/>
      <c r="F187"/>
    </row>
    <row r="188" spans="5:6">
      <c r="E188"/>
      <c r="F188"/>
    </row>
    <row r="189" spans="5:6">
      <c r="E189"/>
      <c r="F189"/>
    </row>
    <row r="190" spans="5:6">
      <c r="E190"/>
      <c r="F190"/>
    </row>
    <row r="191" spans="5:6">
      <c r="E191"/>
      <c r="F191"/>
    </row>
    <row r="192" spans="5:6">
      <c r="E192"/>
      <c r="F192"/>
    </row>
    <row r="193" spans="5:6">
      <c r="E193"/>
      <c r="F193"/>
    </row>
    <row r="194" spans="5:6">
      <c r="E194"/>
      <c r="F194"/>
    </row>
    <row r="195" spans="5:6">
      <c r="E195"/>
      <c r="F195"/>
    </row>
    <row r="196" spans="5:6">
      <c r="E196"/>
      <c r="F196"/>
    </row>
    <row r="197" spans="5:6">
      <c r="E197"/>
      <c r="F197"/>
    </row>
    <row r="198" spans="5:6">
      <c r="E198"/>
      <c r="F198"/>
    </row>
    <row r="199" spans="5:6">
      <c r="E199"/>
      <c r="F199"/>
    </row>
    <row r="200" spans="5:6">
      <c r="E200"/>
      <c r="F200"/>
    </row>
    <row r="201" spans="5:6">
      <c r="E201"/>
      <c r="F201"/>
    </row>
    <row r="202" spans="5:6">
      <c r="E202"/>
      <c r="F202"/>
    </row>
    <row r="203" spans="5:6">
      <c r="E203"/>
      <c r="F203"/>
    </row>
    <row r="204" spans="5:6">
      <c r="E204"/>
      <c r="F204"/>
    </row>
    <row r="205" spans="5:6">
      <c r="E205"/>
      <c r="F205"/>
    </row>
    <row r="206" spans="5:6">
      <c r="E206"/>
      <c r="F206"/>
    </row>
    <row r="207" spans="5:6">
      <c r="E207"/>
      <c r="F207"/>
    </row>
    <row r="208" spans="5:6">
      <c r="E208"/>
      <c r="F208"/>
    </row>
    <row r="209" spans="5:6">
      <c r="E209"/>
      <c r="F209"/>
    </row>
    <row r="210" spans="5:6">
      <c r="E210"/>
      <c r="F210"/>
    </row>
    <row r="211" spans="5:6">
      <c r="E211"/>
      <c r="F211"/>
    </row>
    <row r="212" spans="5:6">
      <c r="E212"/>
      <c r="F212"/>
    </row>
    <row r="213" spans="5:6">
      <c r="E213"/>
      <c r="F213"/>
    </row>
    <row r="214" spans="5:6">
      <c r="E214"/>
      <c r="F214"/>
    </row>
    <row r="215" spans="5:6">
      <c r="E215"/>
      <c r="F215"/>
    </row>
    <row r="216" spans="5:6">
      <c r="E216"/>
      <c r="F216"/>
    </row>
    <row r="217" spans="5:6">
      <c r="E217"/>
      <c r="F217"/>
    </row>
    <row r="218" spans="5:6">
      <c r="E218"/>
      <c r="F218"/>
    </row>
    <row r="219" spans="5:6">
      <c r="E219"/>
      <c r="F219"/>
    </row>
    <row r="220" spans="5:6">
      <c r="E220"/>
      <c r="F220"/>
    </row>
    <row r="221" spans="5:6">
      <c r="E221"/>
      <c r="F221"/>
    </row>
    <row r="222" spans="5:6">
      <c r="E222"/>
      <c r="F222"/>
    </row>
    <row r="223" spans="5:6">
      <c r="E223"/>
      <c r="F223"/>
    </row>
    <row r="224" spans="5:6">
      <c r="E224"/>
      <c r="F224"/>
    </row>
    <row r="225" spans="5:6">
      <c r="E225"/>
      <c r="F225"/>
    </row>
    <row r="226" spans="5:6">
      <c r="E226"/>
      <c r="F226"/>
    </row>
    <row r="227" spans="5:6">
      <c r="E227"/>
      <c r="F227"/>
    </row>
    <row r="228" spans="5:6">
      <c r="E228"/>
      <c r="F228"/>
    </row>
    <row r="229" spans="5:6">
      <c r="E229"/>
      <c r="F229"/>
    </row>
    <row r="230" spans="5:6">
      <c r="E230"/>
      <c r="F230"/>
    </row>
    <row r="231" spans="5:6">
      <c r="E231"/>
      <c r="F231"/>
    </row>
    <row r="232" spans="5:6">
      <c r="E232"/>
      <c r="F232"/>
    </row>
    <row r="233" spans="5:6">
      <c r="E233"/>
      <c r="F233"/>
    </row>
    <row r="234" spans="5:6">
      <c r="E234"/>
      <c r="F234"/>
    </row>
    <row r="235" spans="5:6">
      <c r="E235"/>
      <c r="F235"/>
    </row>
    <row r="236" spans="5:6">
      <c r="E236"/>
      <c r="F236"/>
    </row>
    <row r="237" spans="5:6">
      <c r="E237"/>
      <c r="F237"/>
    </row>
    <row r="238" spans="5:6">
      <c r="E238"/>
      <c r="F238"/>
    </row>
    <row r="239" spans="5:6">
      <c r="E239"/>
      <c r="F239"/>
    </row>
    <row r="240" spans="5:6">
      <c r="E240"/>
      <c r="F240"/>
    </row>
    <row r="241" spans="5:6">
      <c r="E241"/>
      <c r="F241"/>
    </row>
    <row r="242" spans="5:6">
      <c r="E242"/>
      <c r="F242"/>
    </row>
    <row r="243" spans="5:6">
      <c r="E243"/>
      <c r="F243"/>
    </row>
    <row r="244" spans="5:6">
      <c r="E244"/>
      <c r="F244"/>
    </row>
    <row r="245" spans="5:6">
      <c r="E245"/>
      <c r="F245"/>
    </row>
    <row r="246" spans="5:6">
      <c r="E246"/>
      <c r="F246"/>
    </row>
    <row r="247" spans="5:6">
      <c r="E247"/>
      <c r="F247"/>
    </row>
    <row r="248" spans="5:6">
      <c r="E248"/>
      <c r="F248"/>
    </row>
    <row r="249" spans="5:6">
      <c r="E249"/>
      <c r="F249"/>
    </row>
    <row r="250" spans="5:6">
      <c r="E250"/>
      <c r="F250"/>
    </row>
    <row r="251" spans="5:6">
      <c r="E251"/>
      <c r="F251"/>
    </row>
    <row r="252" spans="5:6">
      <c r="E252"/>
      <c r="F252"/>
    </row>
    <row r="253" spans="5:6">
      <c r="E253"/>
      <c r="F253"/>
    </row>
    <row r="254" spans="5:6">
      <c r="E254"/>
      <c r="F254"/>
    </row>
    <row r="255" spans="5:6">
      <c r="E255"/>
      <c r="F255"/>
    </row>
    <row r="256" spans="5:6">
      <c r="E256"/>
      <c r="F256"/>
    </row>
    <row r="257" spans="5:6">
      <c r="E257"/>
      <c r="F257"/>
    </row>
    <row r="258" spans="5:6">
      <c r="E258"/>
      <c r="F258"/>
    </row>
    <row r="259" spans="5:6">
      <c r="E259"/>
      <c r="F259"/>
    </row>
    <row r="260" spans="5:6">
      <c r="E260"/>
      <c r="F260"/>
    </row>
    <row r="261" spans="5:6">
      <c r="E261"/>
      <c r="F261"/>
    </row>
    <row r="262" spans="5:6">
      <c r="E262"/>
      <c r="F262"/>
    </row>
    <row r="263" spans="5:6">
      <c r="E263"/>
      <c r="F263"/>
    </row>
    <row r="264" spans="5:6">
      <c r="E264"/>
      <c r="F264"/>
    </row>
    <row r="265" spans="5:6">
      <c r="E265"/>
      <c r="F265"/>
    </row>
    <row r="266" spans="5:6">
      <c r="E266"/>
      <c r="F266"/>
    </row>
    <row r="267" spans="5:6">
      <c r="E267"/>
      <c r="F267"/>
    </row>
    <row r="268" spans="5:6">
      <c r="E268"/>
      <c r="F268"/>
    </row>
    <row r="269" spans="5:6">
      <c r="E269"/>
      <c r="F269"/>
    </row>
    <row r="270" spans="5:6">
      <c r="E270"/>
      <c r="F270"/>
    </row>
    <row r="271" spans="5:6">
      <c r="E271"/>
      <c r="F271"/>
    </row>
    <row r="272" spans="5:6">
      <c r="E272"/>
      <c r="F272"/>
    </row>
    <row r="273" spans="5:6">
      <c r="E273"/>
      <c r="F273"/>
    </row>
    <row r="274" spans="5:6">
      <c r="E274"/>
      <c r="F274"/>
    </row>
    <row r="275" spans="5:6">
      <c r="E275"/>
      <c r="F275"/>
    </row>
    <row r="276" spans="5:6">
      <c r="E276"/>
      <c r="F276"/>
    </row>
    <row r="277" spans="5:6">
      <c r="E277"/>
      <c r="F277"/>
    </row>
    <row r="278" spans="5:6">
      <c r="E278"/>
      <c r="F278"/>
    </row>
    <row r="279" spans="5:6">
      <c r="E279"/>
      <c r="F279"/>
    </row>
    <row r="280" spans="5:6">
      <c r="E280"/>
      <c r="F280"/>
    </row>
    <row r="281" spans="5:6">
      <c r="E281"/>
      <c r="F281"/>
    </row>
    <row r="282" spans="5:6">
      <c r="E282"/>
      <c r="F282"/>
    </row>
    <row r="283" spans="5:6">
      <c r="E283"/>
      <c r="F283"/>
    </row>
    <row r="284" spans="5:6">
      <c r="E284"/>
      <c r="F284"/>
    </row>
    <row r="285" spans="5:6">
      <c r="E285"/>
      <c r="F285"/>
    </row>
    <row r="286" spans="5:6">
      <c r="E286"/>
      <c r="F286"/>
    </row>
    <row r="287" spans="5:6">
      <c r="E287"/>
      <c r="F287"/>
    </row>
    <row r="288" spans="5:6">
      <c r="E288"/>
      <c r="F288"/>
    </row>
    <row r="289" spans="5:6">
      <c r="E289"/>
      <c r="F289"/>
    </row>
    <row r="290" spans="5:6">
      <c r="E290"/>
      <c r="F290"/>
    </row>
    <row r="291" spans="5:6">
      <c r="E291"/>
      <c r="F291"/>
    </row>
    <row r="292" spans="5:6">
      <c r="E292"/>
      <c r="F292"/>
    </row>
    <row r="293" spans="5:6">
      <c r="E293"/>
      <c r="F293"/>
    </row>
    <row r="294" spans="5:6">
      <c r="E294"/>
      <c r="F294"/>
    </row>
    <row r="295" spans="5:6">
      <c r="E295"/>
      <c r="F295"/>
    </row>
    <row r="296" spans="5:6">
      <c r="E296"/>
      <c r="F296"/>
    </row>
    <row r="297" spans="5:6">
      <c r="E297"/>
      <c r="F297"/>
    </row>
    <row r="298" spans="5:6">
      <c r="E298"/>
      <c r="F298"/>
    </row>
    <row r="299" spans="5:6">
      <c r="E299"/>
      <c r="F299"/>
    </row>
    <row r="300" spans="5:6">
      <c r="E300"/>
      <c r="F300"/>
    </row>
    <row r="301" spans="5:6">
      <c r="E301"/>
      <c r="F301"/>
    </row>
    <row r="302" spans="5:6">
      <c r="E302"/>
      <c r="F302"/>
    </row>
    <row r="303" spans="5:6">
      <c r="E303"/>
      <c r="F303"/>
    </row>
    <row r="304" spans="5:6">
      <c r="E304"/>
      <c r="F304"/>
    </row>
    <row r="305" spans="5:6">
      <c r="E305"/>
      <c r="F305"/>
    </row>
    <row r="306" spans="5:6">
      <c r="E306"/>
      <c r="F306"/>
    </row>
    <row r="307" spans="5:6">
      <c r="E307"/>
      <c r="F307"/>
    </row>
    <row r="308" spans="5:6">
      <c r="E308"/>
      <c r="F308"/>
    </row>
    <row r="309" spans="5:6">
      <c r="E309"/>
      <c r="F309"/>
    </row>
    <row r="310" spans="5:6">
      <c r="E310"/>
      <c r="F310"/>
    </row>
    <row r="311" spans="5:6">
      <c r="E311"/>
      <c r="F311"/>
    </row>
    <row r="312" spans="5:6">
      <c r="E312"/>
      <c r="F312"/>
    </row>
    <row r="313" spans="5:6">
      <c r="E313"/>
      <c r="F313"/>
    </row>
    <row r="314" spans="5:6">
      <c r="E314"/>
      <c r="F314"/>
    </row>
    <row r="315" spans="5:6">
      <c r="E315"/>
      <c r="F315"/>
    </row>
    <row r="316" spans="5:6">
      <c r="E316"/>
      <c r="F316"/>
    </row>
    <row r="317" spans="5:6">
      <c r="E317"/>
      <c r="F317"/>
    </row>
    <row r="318" spans="5:6">
      <c r="E318"/>
      <c r="F318"/>
    </row>
    <row r="319" spans="5:6">
      <c r="E319"/>
      <c r="F319"/>
    </row>
    <row r="320" spans="5:6">
      <c r="E320"/>
      <c r="F320"/>
    </row>
    <row r="321" spans="5:6">
      <c r="E321"/>
      <c r="F321"/>
    </row>
    <row r="322" spans="5:6">
      <c r="E322"/>
      <c r="F322"/>
    </row>
    <row r="323" spans="5:6">
      <c r="E323"/>
      <c r="F323"/>
    </row>
    <row r="324" spans="5:6">
      <c r="E324"/>
      <c r="F324"/>
    </row>
    <row r="325" spans="5:6">
      <c r="E325"/>
      <c r="F325"/>
    </row>
    <row r="326" spans="5:6">
      <c r="E326"/>
      <c r="F326"/>
    </row>
    <row r="327" spans="5:6">
      <c r="E327"/>
      <c r="F32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D3DC3-9B76-4AA3-8923-A970F8EE5A65}">
  <dimension ref="A1:I81"/>
  <sheetViews>
    <sheetView zoomScale="80" zoomScaleNormal="80" workbookViewId="0">
      <pane ySplit="1" topLeftCell="A2" activePane="bottomLeft" state="frozen"/>
      <selection pane="bottomLeft"/>
    </sheetView>
  </sheetViews>
  <sheetFormatPr defaultRowHeight="15"/>
  <cols>
    <col min="1" max="1" bestFit="true" customWidth="true" width="19.140625" collapsed="true"/>
    <col min="2" max="2" customWidth="true" width="24.140625" collapsed="true"/>
    <col min="3" max="3" customWidth="true" width="57.0" collapsed="true"/>
    <col min="4" max="4" customWidth="true" width="44.85546875" collapsed="true"/>
    <col min="5" max="5" customWidth="true" width="50.0" collapsed="true"/>
    <col min="6" max="7" customWidth="true" width="14.0" collapsed="true"/>
    <col min="9" max="9" customWidth="true" width="42.28515625" collapsed="true"/>
  </cols>
  <sheetData>
    <row r="1" spans="1:9">
      <c r="A1" s="104" t="s">
        <v>790</v>
      </c>
      <c r="B1" s="104" t="s">
        <v>791</v>
      </c>
      <c r="C1" s="104" t="s">
        <v>131</v>
      </c>
      <c r="D1" s="104" t="s">
        <v>792</v>
      </c>
      <c r="E1" s="104" t="s">
        <v>793</v>
      </c>
      <c r="F1" s="104" t="s">
        <v>1168</v>
      </c>
      <c r="G1" s="104" t="s">
        <v>325</v>
      </c>
      <c r="H1" s="104" t="s">
        <v>794</v>
      </c>
      <c r="I1" s="104" t="s">
        <v>795</v>
      </c>
    </row>
    <row r="2" spans="1:9" ht="45">
      <c r="A2" s="127" t="s">
        <v>796</v>
      </c>
      <c r="B2" s="58" t="s">
        <v>797</v>
      </c>
      <c r="C2" s="60" t="s">
        <v>361</v>
      </c>
      <c r="D2" s="60" t="s">
        <v>798</v>
      </c>
      <c r="E2" s="60" t="s">
        <v>799</v>
      </c>
      <c r="F2" s="60"/>
      <c r="G2" s="60" t="s">
        <v>76</v>
      </c>
      <c r="H2" s="60" t="s">
        <v>336</v>
      </c>
      <c r="I2" s="60"/>
    </row>
    <row r="3" spans="1:9" ht="45">
      <c r="A3" s="128"/>
      <c r="B3" s="58" t="s">
        <v>800</v>
      </c>
      <c r="C3" s="60" t="s">
        <v>363</v>
      </c>
      <c r="D3" s="60" t="s">
        <v>801</v>
      </c>
      <c r="E3" s="60" t="s">
        <v>364</v>
      </c>
      <c r="F3" s="60"/>
      <c r="G3" s="60" t="s">
        <v>76</v>
      </c>
      <c r="H3" s="60" t="s">
        <v>336</v>
      </c>
      <c r="I3" s="60"/>
    </row>
    <row r="4" spans="1:9" ht="60">
      <c r="A4" s="128"/>
      <c r="B4" s="58" t="s">
        <v>802</v>
      </c>
      <c r="C4" s="60" t="s">
        <v>359</v>
      </c>
      <c r="D4" s="60" t="s">
        <v>803</v>
      </c>
      <c r="E4" s="60" t="s">
        <v>360</v>
      </c>
      <c r="F4" s="60"/>
      <c r="G4" s="60" t="s">
        <v>104</v>
      </c>
      <c r="H4" s="110" t="s">
        <v>1055</v>
      </c>
      <c r="I4" s="60"/>
    </row>
    <row r="5" spans="1:9" ht="60">
      <c r="A5" s="128"/>
      <c r="B5" s="58" t="s">
        <v>804</v>
      </c>
      <c r="C5" s="60" t="s">
        <v>369</v>
      </c>
      <c r="D5" s="60" t="s">
        <v>805</v>
      </c>
      <c r="E5" s="60" t="s">
        <v>370</v>
      </c>
      <c r="F5" s="60"/>
      <c r="G5" s="60" t="s">
        <v>104</v>
      </c>
      <c r="H5" s="110" t="s">
        <v>1055</v>
      </c>
      <c r="I5" s="60"/>
    </row>
    <row r="6" spans="1:9" ht="45">
      <c r="A6" s="128"/>
      <c r="B6" s="58" t="s">
        <v>806</v>
      </c>
      <c r="C6" s="60" t="s">
        <v>807</v>
      </c>
      <c r="D6" s="60" t="s">
        <v>808</v>
      </c>
      <c r="E6" s="60" t="s">
        <v>809</v>
      </c>
      <c r="F6" s="60"/>
      <c r="G6" s="60" t="s">
        <v>104</v>
      </c>
      <c r="H6" s="110" t="s">
        <v>1055</v>
      </c>
      <c r="I6" s="60"/>
    </row>
    <row r="7" spans="1:9" ht="45">
      <c r="A7" s="128"/>
      <c r="B7" s="58" t="s">
        <v>810</v>
      </c>
      <c r="C7" s="60" t="s">
        <v>346</v>
      </c>
      <c r="D7" s="60" t="s">
        <v>811</v>
      </c>
      <c r="E7" s="60" t="s">
        <v>347</v>
      </c>
      <c r="F7" s="60"/>
      <c r="G7" s="60" t="s">
        <v>104</v>
      </c>
      <c r="H7" s="110" t="s">
        <v>1055</v>
      </c>
      <c r="I7" s="60"/>
    </row>
    <row r="8" spans="1:9" ht="45">
      <c r="A8" s="128"/>
      <c r="B8" s="58" t="s">
        <v>20</v>
      </c>
      <c r="C8" s="60" t="s">
        <v>812</v>
      </c>
      <c r="D8" s="60" t="s">
        <v>813</v>
      </c>
      <c r="E8" s="60" t="s">
        <v>814</v>
      </c>
      <c r="F8" s="60"/>
      <c r="G8" s="60" t="s">
        <v>104</v>
      </c>
      <c r="H8" s="110" t="s">
        <v>1055</v>
      </c>
      <c r="I8" s="60"/>
    </row>
    <row r="9" spans="1:9" ht="60">
      <c r="A9" s="128"/>
      <c r="B9" s="58" t="s">
        <v>2</v>
      </c>
      <c r="C9" s="60" t="s">
        <v>815</v>
      </c>
      <c r="D9" s="60" t="s">
        <v>816</v>
      </c>
      <c r="E9" s="60" t="s">
        <v>817</v>
      </c>
      <c r="F9" s="60"/>
      <c r="G9" s="60" t="s">
        <v>104</v>
      </c>
      <c r="H9" s="110" t="s">
        <v>1055</v>
      </c>
      <c r="I9" s="60"/>
    </row>
    <row r="10" spans="1:9" ht="45">
      <c r="A10" s="129"/>
      <c r="B10" s="58" t="s">
        <v>818</v>
      </c>
      <c r="C10" s="60" t="s">
        <v>353</v>
      </c>
      <c r="D10" s="60" t="s">
        <v>819</v>
      </c>
      <c r="E10" s="60" t="s">
        <v>354</v>
      </c>
      <c r="F10" s="60"/>
      <c r="G10" s="60" t="s">
        <v>104</v>
      </c>
      <c r="H10" s="110" t="s">
        <v>1055</v>
      </c>
      <c r="I10" s="60"/>
    </row>
    <row r="11" spans="1:9" ht="30">
      <c r="A11" s="127" t="s">
        <v>820</v>
      </c>
      <c r="B11" s="58" t="s">
        <v>821</v>
      </c>
      <c r="C11" s="60" t="s">
        <v>822</v>
      </c>
      <c r="D11" s="60" t="s">
        <v>823</v>
      </c>
      <c r="E11" s="60" t="s">
        <v>824</v>
      </c>
      <c r="F11" s="60"/>
      <c r="G11" s="60" t="s">
        <v>104</v>
      </c>
      <c r="H11" s="110" t="s">
        <v>1055</v>
      </c>
      <c r="I11" s="60"/>
    </row>
    <row r="12" spans="1:9" ht="30">
      <c r="A12" s="129"/>
      <c r="B12" s="58" t="s">
        <v>825</v>
      </c>
      <c r="C12" s="60" t="s">
        <v>826</v>
      </c>
      <c r="D12" s="60" t="s">
        <v>827</v>
      </c>
      <c r="E12" s="60" t="s">
        <v>828</v>
      </c>
      <c r="F12" s="60"/>
      <c r="G12" s="60" t="s">
        <v>104</v>
      </c>
      <c r="H12" s="110" t="s">
        <v>1055</v>
      </c>
      <c r="I12" s="60"/>
    </row>
    <row r="13" spans="1:9" ht="30">
      <c r="A13" s="127" t="s">
        <v>829</v>
      </c>
      <c r="B13" s="58" t="s">
        <v>830</v>
      </c>
      <c r="C13" s="60" t="s">
        <v>427</v>
      </c>
      <c r="D13" s="60" t="s">
        <v>831</v>
      </c>
      <c r="E13" s="60" t="s">
        <v>428</v>
      </c>
      <c r="F13" s="60"/>
      <c r="G13" s="60" t="s">
        <v>104</v>
      </c>
      <c r="H13" s="110" t="s">
        <v>1055</v>
      </c>
      <c r="I13" s="60"/>
    </row>
    <row r="14" spans="1:9" ht="75">
      <c r="A14" s="128"/>
      <c r="B14" s="58" t="s">
        <v>832</v>
      </c>
      <c r="C14" s="60" t="s">
        <v>833</v>
      </c>
      <c r="D14" s="60" t="s">
        <v>834</v>
      </c>
      <c r="E14" s="60" t="s">
        <v>835</v>
      </c>
      <c r="F14" s="60"/>
      <c r="G14" s="60" t="s">
        <v>104</v>
      </c>
      <c r="H14" s="110" t="s">
        <v>1055</v>
      </c>
      <c r="I14" s="60"/>
    </row>
    <row r="15" spans="1:9" ht="75">
      <c r="A15" s="128"/>
      <c r="B15" s="58" t="s">
        <v>836</v>
      </c>
      <c r="C15" s="60" t="s">
        <v>837</v>
      </c>
      <c r="D15" s="60" t="s">
        <v>838</v>
      </c>
      <c r="E15" s="60" t="s">
        <v>835</v>
      </c>
      <c r="F15" s="60"/>
      <c r="G15" s="60" t="s">
        <v>104</v>
      </c>
      <c r="H15" s="110" t="s">
        <v>1055</v>
      </c>
      <c r="I15" s="60"/>
    </row>
    <row r="16" spans="1:9" ht="75">
      <c r="A16" s="128"/>
      <c r="B16" s="58" t="s">
        <v>839</v>
      </c>
      <c r="C16" s="60" t="s">
        <v>840</v>
      </c>
      <c r="D16" s="60" t="s">
        <v>841</v>
      </c>
      <c r="E16" s="60" t="s">
        <v>835</v>
      </c>
      <c r="F16" s="60"/>
      <c r="G16" s="60" t="s">
        <v>104</v>
      </c>
      <c r="H16" s="110" t="s">
        <v>1055</v>
      </c>
      <c r="I16" s="60"/>
    </row>
    <row r="17" spans="1:9" ht="30">
      <c r="A17" s="128"/>
      <c r="B17" s="58" t="s">
        <v>829</v>
      </c>
      <c r="C17" s="60" t="s">
        <v>842</v>
      </c>
      <c r="D17" s="60" t="s">
        <v>843</v>
      </c>
      <c r="E17" s="60" t="s">
        <v>844</v>
      </c>
      <c r="F17" s="60"/>
      <c r="G17" s="60" t="s">
        <v>104</v>
      </c>
      <c r="H17" s="110" t="s">
        <v>1055</v>
      </c>
      <c r="I17" s="60"/>
    </row>
    <row r="18" spans="1:9" ht="90">
      <c r="A18" s="128"/>
      <c r="B18" s="58" t="s">
        <v>845</v>
      </c>
      <c r="C18" s="60" t="s">
        <v>846</v>
      </c>
      <c r="D18" s="60" t="s">
        <v>847</v>
      </c>
      <c r="E18" s="60" t="s">
        <v>848</v>
      </c>
      <c r="F18" s="60"/>
      <c r="G18" s="60" t="s">
        <v>104</v>
      </c>
      <c r="H18" s="110" t="s">
        <v>1055</v>
      </c>
      <c r="I18" s="60"/>
    </row>
    <row r="19" spans="1:9" ht="45">
      <c r="A19" s="128"/>
      <c r="B19" s="58" t="s">
        <v>849</v>
      </c>
      <c r="C19" s="60" t="s">
        <v>850</v>
      </c>
      <c r="D19" s="60" t="s">
        <v>851</v>
      </c>
      <c r="E19" s="60" t="s">
        <v>852</v>
      </c>
      <c r="F19" s="60"/>
      <c r="G19" s="60" t="s">
        <v>104</v>
      </c>
      <c r="H19" s="110" t="s">
        <v>1055</v>
      </c>
      <c r="I19" s="60"/>
    </row>
    <row r="20" spans="1:9" ht="45">
      <c r="A20" s="128"/>
      <c r="B20" s="58" t="s">
        <v>853</v>
      </c>
      <c r="C20" s="60" t="s">
        <v>854</v>
      </c>
      <c r="D20" s="60" t="s">
        <v>855</v>
      </c>
      <c r="E20" s="60" t="s">
        <v>856</v>
      </c>
      <c r="F20" s="60"/>
      <c r="G20" s="60" t="s">
        <v>104</v>
      </c>
      <c r="H20" s="110" t="s">
        <v>1055</v>
      </c>
      <c r="I20" s="60"/>
    </row>
    <row r="21" spans="1:9" ht="30">
      <c r="A21" s="128"/>
      <c r="B21" s="58" t="s">
        <v>857</v>
      </c>
      <c r="C21" s="60" t="s">
        <v>858</v>
      </c>
      <c r="D21" s="60" t="s">
        <v>859</v>
      </c>
      <c r="E21" s="60" t="s">
        <v>860</v>
      </c>
      <c r="F21" s="60"/>
      <c r="G21" s="60" t="s">
        <v>104</v>
      </c>
      <c r="H21" s="110" t="s">
        <v>1055</v>
      </c>
      <c r="I21" s="60"/>
    </row>
    <row r="22" spans="1:9" ht="90">
      <c r="A22" s="128"/>
      <c r="B22" s="58" t="s">
        <v>861</v>
      </c>
      <c r="C22" s="60" t="s">
        <v>862</v>
      </c>
      <c r="D22" s="60" t="s">
        <v>863</v>
      </c>
      <c r="E22" s="60" t="s">
        <v>864</v>
      </c>
      <c r="F22" s="60"/>
      <c r="G22" s="60" t="s">
        <v>104</v>
      </c>
      <c r="H22" s="110" t="s">
        <v>1055</v>
      </c>
      <c r="I22" s="60"/>
    </row>
    <row r="23" spans="1:9" ht="30">
      <c r="A23" s="128"/>
      <c r="B23" s="58" t="s">
        <v>865</v>
      </c>
      <c r="C23" s="60" t="s">
        <v>866</v>
      </c>
      <c r="D23" s="60" t="s">
        <v>867</v>
      </c>
      <c r="E23" s="60" t="s">
        <v>868</v>
      </c>
      <c r="F23" s="60"/>
      <c r="G23" s="60" t="s">
        <v>104</v>
      </c>
      <c r="H23" s="110" t="s">
        <v>1055</v>
      </c>
      <c r="I23" s="60"/>
    </row>
    <row r="24" spans="1:9" ht="30">
      <c r="A24" s="128"/>
      <c r="B24" s="58" t="s">
        <v>869</v>
      </c>
      <c r="C24" s="60" t="s">
        <v>870</v>
      </c>
      <c r="D24" s="60" t="s">
        <v>871</v>
      </c>
      <c r="E24" s="60" t="s">
        <v>872</v>
      </c>
      <c r="F24" s="60"/>
      <c r="G24" s="60" t="s">
        <v>104</v>
      </c>
      <c r="H24" s="110" t="s">
        <v>1055</v>
      </c>
      <c r="I24" s="60"/>
    </row>
    <row r="25" spans="1:9" ht="105">
      <c r="A25" s="128"/>
      <c r="B25" s="58" t="s">
        <v>873</v>
      </c>
      <c r="C25" s="60" t="s">
        <v>367</v>
      </c>
      <c r="D25" s="60" t="s">
        <v>874</v>
      </c>
      <c r="E25" s="60" t="s">
        <v>875</v>
      </c>
      <c r="F25" s="60"/>
      <c r="G25" s="60" t="s">
        <v>104</v>
      </c>
      <c r="H25" s="60" t="s">
        <v>321</v>
      </c>
      <c r="I25" s="60"/>
    </row>
    <row r="26" spans="1:9" ht="75">
      <c r="A26" s="128"/>
      <c r="B26" s="58" t="s">
        <v>876</v>
      </c>
      <c r="C26" s="60" t="s">
        <v>877</v>
      </c>
      <c r="D26" s="60" t="s">
        <v>878</v>
      </c>
      <c r="E26" s="60" t="s">
        <v>879</v>
      </c>
      <c r="F26" s="60"/>
      <c r="G26" s="60" t="s">
        <v>104</v>
      </c>
      <c r="H26" s="60" t="s">
        <v>321</v>
      </c>
      <c r="I26" s="60"/>
    </row>
    <row r="27" spans="1:9" ht="45">
      <c r="A27" s="128"/>
      <c r="B27" s="58" t="s">
        <v>880</v>
      </c>
      <c r="C27" s="60" t="s">
        <v>881</v>
      </c>
      <c r="D27" s="60" t="s">
        <v>882</v>
      </c>
      <c r="E27" s="60" t="s">
        <v>883</v>
      </c>
      <c r="F27" s="60"/>
      <c r="G27" s="60" t="s">
        <v>104</v>
      </c>
      <c r="H27" s="60" t="s">
        <v>321</v>
      </c>
      <c r="I27" s="60"/>
    </row>
    <row r="28" spans="1:9" ht="60">
      <c r="A28" s="128"/>
      <c r="B28" s="58" t="s">
        <v>884</v>
      </c>
      <c r="C28" s="60" t="s">
        <v>389</v>
      </c>
      <c r="D28" s="60" t="s">
        <v>885</v>
      </c>
      <c r="E28" s="60" t="s">
        <v>886</v>
      </c>
      <c r="F28" s="60"/>
      <c r="G28" s="60" t="s">
        <v>104</v>
      </c>
      <c r="H28" s="60" t="s">
        <v>321</v>
      </c>
      <c r="I28" s="60"/>
    </row>
    <row r="29" spans="1:9" ht="45">
      <c r="A29" s="129"/>
      <c r="B29" s="58" t="s">
        <v>887</v>
      </c>
      <c r="C29" s="60" t="s">
        <v>554</v>
      </c>
      <c r="D29" s="60" t="s">
        <v>888</v>
      </c>
      <c r="E29" s="60" t="s">
        <v>555</v>
      </c>
      <c r="F29" s="60"/>
      <c r="G29" s="60" t="s">
        <v>104</v>
      </c>
      <c r="H29" s="110" t="s">
        <v>1055</v>
      </c>
      <c r="I29" s="60"/>
    </row>
    <row r="30" spans="1:9" ht="45">
      <c r="A30" s="127" t="s">
        <v>889</v>
      </c>
      <c r="B30" s="58" t="s">
        <v>890</v>
      </c>
      <c r="C30" s="60" t="s">
        <v>435</v>
      </c>
      <c r="D30" s="60" t="s">
        <v>891</v>
      </c>
      <c r="E30" s="60" t="s">
        <v>436</v>
      </c>
      <c r="F30" s="60"/>
      <c r="G30" s="60" t="s">
        <v>104</v>
      </c>
      <c r="H30" s="110" t="s">
        <v>1055</v>
      </c>
      <c r="I30" s="60"/>
    </row>
    <row r="31" spans="1:9" ht="45">
      <c r="A31" s="128"/>
      <c r="B31" s="58" t="s">
        <v>892</v>
      </c>
      <c r="C31" s="60" t="s">
        <v>893</v>
      </c>
      <c r="D31" s="60" t="s">
        <v>894</v>
      </c>
      <c r="E31" s="60" t="s">
        <v>895</v>
      </c>
      <c r="F31" s="60"/>
      <c r="G31" s="60" t="s">
        <v>104</v>
      </c>
      <c r="H31" s="110" t="s">
        <v>1055</v>
      </c>
      <c r="I31" s="60"/>
    </row>
    <row r="32" spans="1:9" ht="30">
      <c r="A32" s="128"/>
      <c r="B32" s="58" t="s">
        <v>896</v>
      </c>
      <c r="C32" s="60" t="s">
        <v>897</v>
      </c>
      <c r="D32" s="60" t="s">
        <v>898</v>
      </c>
      <c r="E32" s="60" t="s">
        <v>899</v>
      </c>
      <c r="F32" s="60"/>
      <c r="G32" s="60" t="s">
        <v>104</v>
      </c>
      <c r="H32" s="110" t="s">
        <v>1055</v>
      </c>
      <c r="I32" s="60"/>
    </row>
    <row r="33" spans="1:9" s="10" customFormat="1" ht="45">
      <c r="A33" s="128"/>
      <c r="B33" s="58" t="s">
        <v>900</v>
      </c>
      <c r="C33" s="60" t="s">
        <v>901</v>
      </c>
      <c r="D33" s="60" t="s">
        <v>902</v>
      </c>
      <c r="E33" s="60" t="s">
        <v>903</v>
      </c>
      <c r="F33" s="60"/>
      <c r="G33" s="60" t="s">
        <v>104</v>
      </c>
      <c r="H33" s="110" t="s">
        <v>1055</v>
      </c>
      <c r="I33" s="60"/>
    </row>
    <row r="34" spans="1:9" ht="75">
      <c r="A34" s="128"/>
      <c r="B34" s="58" t="s">
        <v>904</v>
      </c>
      <c r="C34" s="60" t="s">
        <v>905</v>
      </c>
      <c r="D34" s="60" t="s">
        <v>906</v>
      </c>
      <c r="E34" s="60" t="s">
        <v>907</v>
      </c>
      <c r="F34" s="60"/>
      <c r="G34" s="60" t="s">
        <v>104</v>
      </c>
      <c r="H34" s="60" t="s">
        <v>321</v>
      </c>
      <c r="I34" s="60"/>
    </row>
    <row r="35" spans="1:9" ht="45">
      <c r="A35" s="128"/>
      <c r="B35" s="58" t="s">
        <v>908</v>
      </c>
      <c r="C35" s="60" t="s">
        <v>391</v>
      </c>
      <c r="D35" s="60" t="s">
        <v>909</v>
      </c>
      <c r="E35" s="60" t="s">
        <v>392</v>
      </c>
      <c r="F35" s="60"/>
      <c r="G35" s="60" t="s">
        <v>104</v>
      </c>
      <c r="H35" s="60" t="s">
        <v>321</v>
      </c>
      <c r="I35" s="60"/>
    </row>
    <row r="36" spans="1:9" ht="60">
      <c r="A36" s="128"/>
      <c r="B36" s="58" t="s">
        <v>910</v>
      </c>
      <c r="C36" s="60" t="s">
        <v>637</v>
      </c>
      <c r="D36" s="60" t="s">
        <v>911</v>
      </c>
      <c r="E36" s="60" t="s">
        <v>638</v>
      </c>
      <c r="F36" s="60"/>
      <c r="G36" s="60" t="s">
        <v>104</v>
      </c>
      <c r="H36" s="110" t="s">
        <v>1055</v>
      </c>
      <c r="I36" s="60"/>
    </row>
    <row r="37" spans="1:9" ht="45">
      <c r="A37" s="128"/>
      <c r="B37" s="58" t="s">
        <v>912</v>
      </c>
      <c r="C37" s="60" t="s">
        <v>913</v>
      </c>
      <c r="D37" s="60" t="s">
        <v>914</v>
      </c>
      <c r="E37" s="60" t="s">
        <v>915</v>
      </c>
      <c r="F37" s="60"/>
      <c r="G37" s="60" t="s">
        <v>104</v>
      </c>
      <c r="H37" s="110" t="s">
        <v>1055</v>
      </c>
      <c r="I37" s="60"/>
    </row>
    <row r="38" spans="1:9" ht="45">
      <c r="A38" s="128"/>
      <c r="B38" s="58" t="s">
        <v>916</v>
      </c>
      <c r="C38" s="60" t="s">
        <v>419</v>
      </c>
      <c r="D38" s="60" t="s">
        <v>917</v>
      </c>
      <c r="E38" s="60" t="s">
        <v>420</v>
      </c>
      <c r="F38" s="60"/>
      <c r="G38" s="60" t="s">
        <v>104</v>
      </c>
      <c r="H38" s="110" t="s">
        <v>1055</v>
      </c>
      <c r="I38" s="60"/>
    </row>
    <row r="39" spans="1:9" ht="60">
      <c r="A39" s="128"/>
      <c r="B39" s="58" t="s">
        <v>918</v>
      </c>
      <c r="C39" s="60" t="s">
        <v>573</v>
      </c>
      <c r="D39" s="60" t="s">
        <v>919</v>
      </c>
      <c r="E39" s="60" t="s">
        <v>574</v>
      </c>
      <c r="F39" s="60"/>
      <c r="G39" s="60" t="s">
        <v>104</v>
      </c>
      <c r="H39" s="60" t="s">
        <v>321</v>
      </c>
      <c r="I39" s="60"/>
    </row>
    <row r="40" spans="1:9" ht="60">
      <c r="A40" s="128"/>
      <c r="B40" s="58" t="s">
        <v>920</v>
      </c>
      <c r="C40" s="60" t="s">
        <v>921</v>
      </c>
      <c r="D40" s="60" t="s">
        <v>922</v>
      </c>
      <c r="E40" s="60" t="s">
        <v>923</v>
      </c>
      <c r="F40" s="60"/>
      <c r="G40" s="60" t="s">
        <v>104</v>
      </c>
      <c r="H40" s="60" t="s">
        <v>321</v>
      </c>
      <c r="I40" s="60"/>
    </row>
    <row r="41" spans="1:9" ht="75">
      <c r="A41" s="128"/>
      <c r="B41" s="58" t="s">
        <v>924</v>
      </c>
      <c r="C41" s="60" t="s">
        <v>782</v>
      </c>
      <c r="D41" s="60" t="s">
        <v>925</v>
      </c>
      <c r="E41" s="60" t="s">
        <v>783</v>
      </c>
      <c r="F41" s="60"/>
      <c r="G41" s="60" t="s">
        <v>104</v>
      </c>
      <c r="H41" s="60" t="s">
        <v>321</v>
      </c>
      <c r="I41" s="60"/>
    </row>
    <row r="42" spans="1:9" ht="30">
      <c r="A42" s="128"/>
      <c r="B42" s="58" t="s">
        <v>926</v>
      </c>
      <c r="C42" s="60" t="s">
        <v>927</v>
      </c>
      <c r="D42" s="60" t="s">
        <v>928</v>
      </c>
      <c r="E42" s="60" t="s">
        <v>929</v>
      </c>
      <c r="F42" s="60"/>
      <c r="G42" s="60" t="s">
        <v>104</v>
      </c>
      <c r="H42" s="60" t="s">
        <v>321</v>
      </c>
      <c r="I42" s="60"/>
    </row>
    <row r="43" spans="1:9" ht="60">
      <c r="A43" s="128"/>
      <c r="B43" s="58" t="s">
        <v>930</v>
      </c>
      <c r="C43" s="60" t="s">
        <v>931</v>
      </c>
      <c r="D43" s="60" t="s">
        <v>932</v>
      </c>
      <c r="E43" s="60" t="s">
        <v>933</v>
      </c>
      <c r="F43" s="60"/>
      <c r="G43" s="60" t="s">
        <v>104</v>
      </c>
      <c r="H43" s="110" t="s">
        <v>1055</v>
      </c>
      <c r="I43" s="60"/>
    </row>
    <row r="44" spans="1:9" ht="60">
      <c r="A44" s="128"/>
      <c r="B44" s="58" t="s">
        <v>934</v>
      </c>
      <c r="C44" s="60" t="s">
        <v>541</v>
      </c>
      <c r="D44" s="60" t="s">
        <v>935</v>
      </c>
      <c r="E44" s="60" t="s">
        <v>542</v>
      </c>
      <c r="F44" s="60"/>
      <c r="G44" s="60" t="s">
        <v>104</v>
      </c>
      <c r="H44" s="110" t="s">
        <v>1055</v>
      </c>
      <c r="I44" s="60"/>
    </row>
    <row r="45" spans="1:9" ht="90">
      <c r="A45" s="128"/>
      <c r="B45" s="58" t="s">
        <v>936</v>
      </c>
      <c r="C45" s="105" t="s">
        <v>387</v>
      </c>
      <c r="D45" s="60" t="s">
        <v>937</v>
      </c>
      <c r="E45" s="105" t="s">
        <v>938</v>
      </c>
      <c r="F45" s="105"/>
      <c r="G45" s="60" t="s">
        <v>104</v>
      </c>
      <c r="H45" s="60" t="s">
        <v>321</v>
      </c>
      <c r="I45" s="60"/>
    </row>
    <row r="46" spans="1:9" ht="75">
      <c r="A46" s="128"/>
      <c r="B46" s="58" t="s">
        <v>939</v>
      </c>
      <c r="C46" s="60" t="s">
        <v>578</v>
      </c>
      <c r="D46" s="60" t="s">
        <v>940</v>
      </c>
      <c r="E46" s="60" t="s">
        <v>579</v>
      </c>
      <c r="F46" s="60"/>
      <c r="G46" s="60" t="s">
        <v>104</v>
      </c>
      <c r="H46" s="60" t="s">
        <v>321</v>
      </c>
      <c r="I46" s="60"/>
    </row>
    <row r="47" spans="1:9" ht="60">
      <c r="A47" s="128"/>
      <c r="B47" s="58" t="s">
        <v>941</v>
      </c>
      <c r="C47" s="60" t="s">
        <v>942</v>
      </c>
      <c r="D47" s="60" t="s">
        <v>943</v>
      </c>
      <c r="E47" s="60" t="s">
        <v>582</v>
      </c>
      <c r="F47" s="60"/>
      <c r="G47" s="60" t="s">
        <v>104</v>
      </c>
      <c r="H47" s="60" t="s">
        <v>321</v>
      </c>
      <c r="I47" s="60"/>
    </row>
    <row r="48" spans="1:9" ht="60">
      <c r="A48" s="128"/>
      <c r="B48" s="58" t="s">
        <v>944</v>
      </c>
      <c r="C48" s="60" t="s">
        <v>583</v>
      </c>
      <c r="D48" s="60" t="s">
        <v>945</v>
      </c>
      <c r="E48" s="60" t="s">
        <v>584</v>
      </c>
      <c r="F48" s="60"/>
      <c r="G48" s="60" t="s">
        <v>104</v>
      </c>
      <c r="H48" s="60" t="s">
        <v>321</v>
      </c>
      <c r="I48" s="60"/>
    </row>
    <row r="49" spans="1:9" ht="60">
      <c r="A49" s="128"/>
      <c r="B49" s="58" t="s">
        <v>946</v>
      </c>
      <c r="C49" s="60" t="s">
        <v>585</v>
      </c>
      <c r="D49" s="60" t="s">
        <v>947</v>
      </c>
      <c r="E49" s="60" t="s">
        <v>586</v>
      </c>
      <c r="F49" s="60"/>
      <c r="G49" s="60" t="s">
        <v>104</v>
      </c>
      <c r="H49" s="60" t="s">
        <v>321</v>
      </c>
      <c r="I49" s="60"/>
    </row>
    <row r="50" spans="1:9" ht="105">
      <c r="A50" s="129"/>
      <c r="B50" s="58" t="s">
        <v>948</v>
      </c>
      <c r="C50" s="60" t="s">
        <v>949</v>
      </c>
      <c r="D50" s="60" t="s">
        <v>950</v>
      </c>
      <c r="E50" s="60" t="s">
        <v>951</v>
      </c>
      <c r="F50" s="60"/>
      <c r="G50" s="60"/>
      <c r="H50" s="60" t="s">
        <v>321</v>
      </c>
      <c r="I50" s="60"/>
    </row>
    <row r="51" spans="1:9" ht="105">
      <c r="A51" s="127" t="s">
        <v>952</v>
      </c>
      <c r="B51" s="58" t="s">
        <v>953</v>
      </c>
      <c r="C51" s="60" t="s">
        <v>954</v>
      </c>
      <c r="D51" s="60" t="s">
        <v>955</v>
      </c>
      <c r="E51" s="60" t="s">
        <v>956</v>
      </c>
      <c r="F51" s="60"/>
      <c r="G51" s="60"/>
      <c r="H51" s="60" t="s">
        <v>451</v>
      </c>
      <c r="I51" s="60"/>
    </row>
    <row r="52" spans="1:9" s="108" customFormat="1" ht="60">
      <c r="A52" s="128"/>
      <c r="B52" s="106" t="s">
        <v>957</v>
      </c>
      <c r="C52" s="107" t="s">
        <v>958</v>
      </c>
      <c r="D52" s="107" t="s">
        <v>959</v>
      </c>
      <c r="E52" s="107" t="s">
        <v>960</v>
      </c>
      <c r="F52" s="107"/>
      <c r="G52" s="107"/>
      <c r="H52" s="107" t="s">
        <v>321</v>
      </c>
      <c r="I52" s="107"/>
    </row>
    <row r="53" spans="1:9" ht="45">
      <c r="A53" s="128"/>
      <c r="B53" s="58" t="s">
        <v>961</v>
      </c>
      <c r="C53" s="60" t="s">
        <v>962</v>
      </c>
      <c r="D53" s="60" t="s">
        <v>963</v>
      </c>
      <c r="E53" s="60" t="s">
        <v>964</v>
      </c>
      <c r="F53" s="60"/>
      <c r="G53" s="60" t="s">
        <v>104</v>
      </c>
      <c r="H53" s="110" t="s">
        <v>1055</v>
      </c>
      <c r="I53" s="60"/>
    </row>
    <row r="54" spans="1:9" ht="60">
      <c r="A54" s="128"/>
      <c r="B54" s="58" t="s">
        <v>965</v>
      </c>
      <c r="C54" s="60" t="s">
        <v>966</v>
      </c>
      <c r="D54" s="60" t="s">
        <v>967</v>
      </c>
      <c r="E54" s="60" t="s">
        <v>968</v>
      </c>
      <c r="F54" s="60"/>
      <c r="G54" s="60" t="s">
        <v>104</v>
      </c>
      <c r="H54" s="60" t="s">
        <v>321</v>
      </c>
      <c r="I54" s="60"/>
    </row>
    <row r="55" spans="1:9" s="108" customFormat="1" ht="75">
      <c r="A55" s="129"/>
      <c r="B55" s="106" t="s">
        <v>969</v>
      </c>
      <c r="C55" s="107" t="s">
        <v>970</v>
      </c>
      <c r="D55" s="107" t="s">
        <v>971</v>
      </c>
      <c r="E55" s="107" t="s">
        <v>972</v>
      </c>
      <c r="F55" s="107"/>
      <c r="G55" s="60" t="s">
        <v>104</v>
      </c>
      <c r="H55" s="107" t="s">
        <v>321</v>
      </c>
      <c r="I55" s="107"/>
    </row>
    <row r="56" spans="1:9" ht="45">
      <c r="A56" s="109" t="s">
        <v>37</v>
      </c>
      <c r="B56" s="58" t="s">
        <v>37</v>
      </c>
      <c r="C56" s="60" t="s">
        <v>973</v>
      </c>
      <c r="D56" s="60" t="s">
        <v>974</v>
      </c>
      <c r="E56" s="60" t="s">
        <v>975</v>
      </c>
      <c r="F56" s="60"/>
      <c r="G56" s="60" t="s">
        <v>76</v>
      </c>
      <c r="H56" s="60" t="s">
        <v>451</v>
      </c>
      <c r="I56" s="60"/>
    </row>
    <row r="57" spans="1:9" ht="45">
      <c r="A57" s="127" t="s">
        <v>976</v>
      </c>
      <c r="B57" s="58" t="s">
        <v>977</v>
      </c>
      <c r="C57" s="60" t="s">
        <v>978</v>
      </c>
      <c r="D57" s="60" t="s">
        <v>979</v>
      </c>
      <c r="E57" s="60" t="s">
        <v>781</v>
      </c>
      <c r="F57" s="60"/>
      <c r="G57" s="60" t="s">
        <v>104</v>
      </c>
      <c r="H57" s="110" t="s">
        <v>1055</v>
      </c>
      <c r="I57" s="60"/>
    </row>
    <row r="58" spans="1:9" ht="45">
      <c r="A58" s="129"/>
      <c r="B58" s="58" t="s">
        <v>980</v>
      </c>
      <c r="C58" s="60" t="s">
        <v>780</v>
      </c>
      <c r="D58" s="60" t="s">
        <v>981</v>
      </c>
      <c r="E58" s="60" t="s">
        <v>781</v>
      </c>
      <c r="F58" s="60"/>
      <c r="G58" s="60" t="s">
        <v>104</v>
      </c>
      <c r="H58" s="110" t="s">
        <v>1055</v>
      </c>
      <c r="I58" s="60"/>
    </row>
    <row r="59" spans="1:9" ht="30">
      <c r="A59" s="127" t="s">
        <v>982</v>
      </c>
      <c r="B59" s="58" t="s">
        <v>983</v>
      </c>
      <c r="C59" s="60" t="s">
        <v>984</v>
      </c>
      <c r="D59" s="60" t="s">
        <v>985</v>
      </c>
      <c r="E59" s="60" t="s">
        <v>986</v>
      </c>
      <c r="F59" s="60"/>
      <c r="G59" s="60" t="s">
        <v>76</v>
      </c>
      <c r="H59" s="60" t="s">
        <v>451</v>
      </c>
      <c r="I59" s="60"/>
    </row>
    <row r="60" spans="1:9" ht="30">
      <c r="A60" s="128"/>
      <c r="B60" s="58" t="s">
        <v>454</v>
      </c>
      <c r="C60" s="60" t="s">
        <v>455</v>
      </c>
      <c r="D60" s="60" t="s">
        <v>987</v>
      </c>
      <c r="E60" s="60" t="s">
        <v>456</v>
      </c>
      <c r="F60" s="60"/>
      <c r="G60" s="60" t="s">
        <v>104</v>
      </c>
      <c r="H60" s="110" t="s">
        <v>1055</v>
      </c>
      <c r="I60" s="60"/>
    </row>
    <row r="61" spans="1:9" ht="45">
      <c r="A61" s="128"/>
      <c r="B61" s="58" t="s">
        <v>988</v>
      </c>
      <c r="C61" s="60" t="s">
        <v>989</v>
      </c>
      <c r="D61" s="60" t="s">
        <v>990</v>
      </c>
      <c r="E61" s="60" t="s">
        <v>991</v>
      </c>
      <c r="F61" s="60"/>
      <c r="G61" s="60" t="s">
        <v>104</v>
      </c>
      <c r="H61" s="110" t="s">
        <v>1055</v>
      </c>
      <c r="I61" s="60"/>
    </row>
    <row r="62" spans="1:9" ht="30">
      <c r="A62" s="128"/>
      <c r="B62" s="58" t="s">
        <v>457</v>
      </c>
      <c r="C62" s="60" t="s">
        <v>458</v>
      </c>
      <c r="D62" s="60" t="s">
        <v>992</v>
      </c>
      <c r="E62" s="60" t="s">
        <v>459</v>
      </c>
      <c r="F62" s="60"/>
      <c r="G62" s="60" t="s">
        <v>104</v>
      </c>
      <c r="H62" s="60" t="s">
        <v>321</v>
      </c>
      <c r="I62" s="60"/>
    </row>
    <row r="63" spans="1:9" ht="30">
      <c r="A63" s="128"/>
      <c r="B63" s="58" t="s">
        <v>460</v>
      </c>
      <c r="C63" s="60" t="s">
        <v>461</v>
      </c>
      <c r="D63" s="60" t="s">
        <v>993</v>
      </c>
      <c r="E63" s="60" t="s">
        <v>994</v>
      </c>
      <c r="F63" s="60"/>
      <c r="G63" s="60" t="s">
        <v>104</v>
      </c>
      <c r="H63" s="60" t="s">
        <v>321</v>
      </c>
      <c r="I63" s="60"/>
    </row>
    <row r="64" spans="1:9" ht="45">
      <c r="A64" s="128"/>
      <c r="B64" s="58" t="s">
        <v>463</v>
      </c>
      <c r="C64" s="60" t="s">
        <v>464</v>
      </c>
      <c r="D64" s="60" t="s">
        <v>995</v>
      </c>
      <c r="E64" s="60" t="s">
        <v>996</v>
      </c>
      <c r="F64" s="60"/>
      <c r="G64" s="60" t="s">
        <v>104</v>
      </c>
      <c r="H64" s="60" t="s">
        <v>321</v>
      </c>
      <c r="I64" s="60"/>
    </row>
    <row r="65" spans="1:9" ht="30">
      <c r="A65" s="128"/>
      <c r="B65" s="58" t="s">
        <v>466</v>
      </c>
      <c r="C65" s="60" t="s">
        <v>467</v>
      </c>
      <c r="D65" s="60" t="s">
        <v>997</v>
      </c>
      <c r="E65" s="60" t="s">
        <v>468</v>
      </c>
      <c r="F65" s="60"/>
      <c r="G65" s="60" t="s">
        <v>104</v>
      </c>
      <c r="H65" s="60" t="s">
        <v>321</v>
      </c>
      <c r="I65" s="60"/>
    </row>
    <row r="66" spans="1:9" ht="30">
      <c r="A66" s="128"/>
      <c r="B66" s="58" t="s">
        <v>469</v>
      </c>
      <c r="C66" s="60" t="s">
        <v>470</v>
      </c>
      <c r="D66" s="60" t="s">
        <v>998</v>
      </c>
      <c r="E66" s="60" t="s">
        <v>471</v>
      </c>
      <c r="F66" s="60"/>
      <c r="G66" s="60" t="s">
        <v>104</v>
      </c>
      <c r="H66" s="60" t="s">
        <v>321</v>
      </c>
      <c r="I66" s="60"/>
    </row>
    <row r="67" spans="1:9" ht="90">
      <c r="A67" s="128"/>
      <c r="B67" s="58" t="s">
        <v>999</v>
      </c>
      <c r="C67" s="60" t="s">
        <v>1000</v>
      </c>
      <c r="D67" s="60" t="s">
        <v>1001</v>
      </c>
      <c r="E67" s="60" t="s">
        <v>1002</v>
      </c>
      <c r="F67" s="60"/>
      <c r="G67" s="60" t="s">
        <v>76</v>
      </c>
      <c r="H67" s="60" t="s">
        <v>451</v>
      </c>
      <c r="I67" s="60"/>
    </row>
    <row r="68" spans="1:9" ht="30">
      <c r="A68" s="128"/>
      <c r="B68" s="58" t="s">
        <v>1003</v>
      </c>
      <c r="C68" s="60" t="s">
        <v>1004</v>
      </c>
      <c r="D68" s="60" t="s">
        <v>1005</v>
      </c>
      <c r="E68" s="60" t="s">
        <v>1006</v>
      </c>
      <c r="F68" s="60"/>
      <c r="G68" s="60" t="s">
        <v>104</v>
      </c>
      <c r="H68" s="60" t="s">
        <v>321</v>
      </c>
      <c r="I68" s="60"/>
    </row>
    <row r="69" spans="1:9" ht="135">
      <c r="A69" s="128"/>
      <c r="B69" s="58" t="s">
        <v>1007</v>
      </c>
      <c r="C69" s="60" t="s">
        <v>1008</v>
      </c>
      <c r="D69" s="60" t="s">
        <v>1009</v>
      </c>
      <c r="E69" s="60" t="s">
        <v>1010</v>
      </c>
      <c r="F69" s="60"/>
      <c r="G69" s="60" t="s">
        <v>104</v>
      </c>
      <c r="H69" s="110" t="s">
        <v>1055</v>
      </c>
      <c r="I69" s="60"/>
    </row>
    <row r="70" spans="1:9" ht="45">
      <c r="A70" s="128"/>
      <c r="B70" s="58" t="s">
        <v>1011</v>
      </c>
      <c r="C70" s="60" t="s">
        <v>1012</v>
      </c>
      <c r="D70" s="60" t="s">
        <v>1013</v>
      </c>
      <c r="E70" s="60" t="s">
        <v>1014</v>
      </c>
      <c r="F70" s="60"/>
      <c r="G70" s="60" t="s">
        <v>104</v>
      </c>
      <c r="H70" s="60" t="s">
        <v>321</v>
      </c>
      <c r="I70" s="60"/>
    </row>
    <row r="71" spans="1:9" ht="30">
      <c r="A71" s="128"/>
      <c r="B71" s="58" t="s">
        <v>1015</v>
      </c>
      <c r="C71" s="60" t="s">
        <v>1016</v>
      </c>
      <c r="D71" s="60" t="s">
        <v>1017</v>
      </c>
      <c r="E71" s="60" t="s">
        <v>1018</v>
      </c>
      <c r="F71" s="60"/>
      <c r="G71" s="60" t="s">
        <v>104</v>
      </c>
      <c r="H71" s="60" t="s">
        <v>321</v>
      </c>
      <c r="I71" s="60"/>
    </row>
    <row r="72" spans="1:9" ht="51" customHeight="1">
      <c r="A72" s="128"/>
      <c r="B72" s="58" t="s">
        <v>1019</v>
      </c>
      <c r="C72" s="60" t="s">
        <v>1020</v>
      </c>
      <c r="D72" s="60" t="s">
        <v>1021</v>
      </c>
      <c r="E72" s="60" t="s">
        <v>1022</v>
      </c>
      <c r="F72" s="60"/>
      <c r="G72" s="60" t="s">
        <v>104</v>
      </c>
      <c r="H72" s="60" t="s">
        <v>321</v>
      </c>
      <c r="I72" s="60"/>
    </row>
    <row r="73" spans="1:9" ht="60">
      <c r="A73" s="128"/>
      <c r="B73" s="58" t="s">
        <v>1023</v>
      </c>
      <c r="C73" s="60" t="s">
        <v>1024</v>
      </c>
      <c r="D73" s="60" t="s">
        <v>1025</v>
      </c>
      <c r="E73" s="60" t="s">
        <v>1026</v>
      </c>
      <c r="F73" s="60"/>
      <c r="G73" s="60" t="s">
        <v>104</v>
      </c>
      <c r="H73" s="60" t="s">
        <v>321</v>
      </c>
      <c r="I73" s="60"/>
    </row>
    <row r="74" spans="1:9" ht="150">
      <c r="A74" s="128"/>
      <c r="B74" s="58" t="s">
        <v>1027</v>
      </c>
      <c r="C74" s="60" t="s">
        <v>1028</v>
      </c>
      <c r="D74" s="60" t="s">
        <v>1029</v>
      </c>
      <c r="E74" s="60" t="s">
        <v>1030</v>
      </c>
      <c r="F74" s="60"/>
      <c r="G74" s="60" t="s">
        <v>104</v>
      </c>
      <c r="H74" s="60" t="s">
        <v>321</v>
      </c>
      <c r="I74" s="60"/>
    </row>
    <row r="75" spans="1:9" ht="120">
      <c r="A75" s="128"/>
      <c r="B75" s="58" t="s">
        <v>1031</v>
      </c>
      <c r="C75" s="105" t="s">
        <v>1032</v>
      </c>
      <c r="D75" s="60" t="s">
        <v>1033</v>
      </c>
      <c r="E75" s="10" t="s">
        <v>1034</v>
      </c>
      <c r="F75" s="10"/>
      <c r="G75" s="60" t="s">
        <v>104</v>
      </c>
      <c r="H75" s="60" t="s">
        <v>321</v>
      </c>
      <c r="I75" s="60"/>
    </row>
    <row r="76" spans="1:9" ht="45">
      <c r="A76" s="128"/>
      <c r="B76" s="58" t="s">
        <v>1035</v>
      </c>
      <c r="C76" s="60" t="s">
        <v>1036</v>
      </c>
      <c r="D76" s="60" t="s">
        <v>1037</v>
      </c>
      <c r="E76" s="60" t="s">
        <v>1038</v>
      </c>
      <c r="F76" s="60"/>
      <c r="G76" s="60" t="s">
        <v>104</v>
      </c>
      <c r="H76" s="110" t="s">
        <v>1055</v>
      </c>
      <c r="I76" s="60"/>
    </row>
    <row r="77" spans="1:9" ht="45">
      <c r="A77" s="128"/>
      <c r="B77" s="58" t="s">
        <v>1039</v>
      </c>
      <c r="C77" s="60" t="s">
        <v>497</v>
      </c>
      <c r="D77" s="60" t="s">
        <v>1040</v>
      </c>
      <c r="E77" s="60" t="s">
        <v>498</v>
      </c>
      <c r="F77" s="60"/>
      <c r="G77" s="60" t="s">
        <v>104</v>
      </c>
      <c r="H77" s="110" t="s">
        <v>1055</v>
      </c>
      <c r="I77" s="60"/>
    </row>
    <row r="78" spans="1:9" ht="30">
      <c r="A78" s="128"/>
      <c r="B78" s="58" t="s">
        <v>1041</v>
      </c>
      <c r="C78" s="60" t="s">
        <v>1042</v>
      </c>
      <c r="D78" s="60" t="s">
        <v>1043</v>
      </c>
      <c r="E78" s="60" t="s">
        <v>1044</v>
      </c>
      <c r="F78" s="60"/>
      <c r="G78" s="60" t="s">
        <v>104</v>
      </c>
      <c r="H78" s="60" t="s">
        <v>321</v>
      </c>
      <c r="I78" s="60"/>
    </row>
    <row r="79" spans="1:9" ht="30">
      <c r="A79" s="128"/>
      <c r="B79" s="58" t="s">
        <v>1045</v>
      </c>
      <c r="C79" s="60" t="s">
        <v>1046</v>
      </c>
      <c r="D79" s="60" t="s">
        <v>1043</v>
      </c>
      <c r="E79" s="60" t="s">
        <v>1047</v>
      </c>
      <c r="F79" s="60"/>
      <c r="G79" s="60" t="s">
        <v>104</v>
      </c>
      <c r="H79" s="60" t="s">
        <v>321</v>
      </c>
      <c r="I79" s="60"/>
    </row>
    <row r="80" spans="1:9" ht="30">
      <c r="A80" s="128"/>
      <c r="B80" s="58" t="s">
        <v>1048</v>
      </c>
      <c r="C80" s="60" t="s">
        <v>1049</v>
      </c>
      <c r="D80" s="60" t="s">
        <v>1043</v>
      </c>
      <c r="E80" s="60" t="s">
        <v>1050</v>
      </c>
      <c r="F80" s="60"/>
      <c r="G80" s="60" t="s">
        <v>104</v>
      </c>
      <c r="H80" s="60" t="s">
        <v>321</v>
      </c>
      <c r="I80" s="60"/>
    </row>
    <row r="81" spans="1:9" ht="330">
      <c r="A81" s="129"/>
      <c r="B81" s="58" t="s">
        <v>1051</v>
      </c>
      <c r="C81" s="60" t="s">
        <v>768</v>
      </c>
      <c r="D81" s="60" t="s">
        <v>1052</v>
      </c>
      <c r="E81" s="60" t="s">
        <v>1053</v>
      </c>
      <c r="F81" s="60"/>
      <c r="G81" s="60" t="s">
        <v>104</v>
      </c>
      <c r="H81" s="110" t="s">
        <v>1055</v>
      </c>
      <c r="I81" s="60"/>
    </row>
  </sheetData>
  <autoFilter ref="A1:I81" xr:uid="{E36932DE-690C-4E05-A37C-B55F826A6548}"/>
  <mergeCells count="7">
    <mergeCell ref="A59:A81"/>
    <mergeCell ref="A2:A10"/>
    <mergeCell ref="A11:A12"/>
    <mergeCell ref="A13:A29"/>
    <mergeCell ref="A30:A50"/>
    <mergeCell ref="A51:A55"/>
    <mergeCell ref="A57:A5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95D88-7981-42E0-A017-6C9569C6B5C8}">
  <dimension ref="A1:O320"/>
  <sheetViews>
    <sheetView zoomScale="70" zoomScaleNormal="70" workbookViewId="0">
      <pane ySplit="1" topLeftCell="A2" activePane="bottomLeft" state="frozen"/>
      <selection pane="bottomLeft" activeCell="K3" sqref="K3"/>
    </sheetView>
  </sheetViews>
  <sheetFormatPr defaultColWidth="9.140625" defaultRowHeight="15"/>
  <cols>
    <col min="1" max="1" customWidth="true" style="70" width="9.28515625" collapsed="true"/>
    <col min="2" max="2" customWidth="true" style="70" width="8.42578125" collapsed="true"/>
    <col min="3" max="3" customWidth="true" style="70" width="51.42578125" collapsed="true"/>
    <col min="4" max="4" customWidth="true" style="70" width="35.42578125" collapsed="true"/>
    <col min="5" max="5" customWidth="true" style="70" width="56.5703125" collapsed="true"/>
    <col min="6" max="6" customWidth="true" style="70" width="11.140625" collapsed="true"/>
    <col min="7" max="7" customWidth="true" style="70" width="9.42578125" collapsed="true"/>
    <col min="8" max="8" customWidth="true" style="70" width="11.7109375" collapsed="true"/>
    <col min="9" max="9" customWidth="true" style="70" width="12.7109375" collapsed="true"/>
    <col min="10" max="10" bestFit="true" customWidth="true" style="70" width="8.85546875" collapsed="true"/>
    <col min="11" max="11" customWidth="true" style="70" width="14.7109375" collapsed="true"/>
    <col min="12" max="12" style="70" width="9.140625" collapsed="true"/>
    <col min="13" max="13" customWidth="true" style="70" width="12.85546875" collapsed="true"/>
    <col min="14" max="14" customWidth="true" style="70" width="12.7109375" collapsed="true"/>
    <col min="15" max="15" customWidth="true" style="70" width="13.7109375" collapsed="true"/>
    <col min="16" max="16384" style="70" width="9.140625" collapsed="true"/>
  </cols>
  <sheetData>
    <row r="1" spans="1:15" ht="30">
      <c r="A1" s="67" t="s">
        <v>17</v>
      </c>
      <c r="B1" s="67" t="s">
        <v>18</v>
      </c>
      <c r="C1" s="68" t="s">
        <v>131</v>
      </c>
      <c r="D1" s="68" t="s">
        <v>322</v>
      </c>
      <c r="E1" s="69" t="s">
        <v>132</v>
      </c>
      <c r="F1" s="68" t="s">
        <v>1167</v>
      </c>
      <c r="G1" s="68" t="s">
        <v>323</v>
      </c>
      <c r="H1" s="68" t="s">
        <v>324</v>
      </c>
      <c r="I1" s="68" t="s">
        <v>325</v>
      </c>
      <c r="J1" s="68" t="s">
        <v>1057</v>
      </c>
      <c r="K1" s="68" t="s">
        <v>1202</v>
      </c>
      <c r="L1" s="69" t="s">
        <v>326</v>
      </c>
      <c r="M1" s="69" t="s">
        <v>327</v>
      </c>
      <c r="N1" s="69" t="s">
        <v>328</v>
      </c>
      <c r="O1" s="69" t="s">
        <v>329</v>
      </c>
    </row>
    <row r="2" spans="1:15">
      <c r="A2" s="71"/>
      <c r="B2" s="72"/>
      <c r="C2" s="73" t="s">
        <v>330</v>
      </c>
      <c r="D2" s="74"/>
      <c r="E2" s="74"/>
      <c r="F2" s="74"/>
      <c r="G2" s="74"/>
      <c r="H2" s="74"/>
      <c r="I2" s="74"/>
      <c r="J2" s="74"/>
      <c r="K2" s="74"/>
      <c r="L2" s="74"/>
      <c r="M2" s="74"/>
      <c r="N2" s="74"/>
      <c r="O2" s="74"/>
    </row>
    <row r="3" spans="1:15" ht="60">
      <c r="A3" s="75"/>
      <c r="B3" s="71">
        <v>1</v>
      </c>
      <c r="C3" s="76" t="s">
        <v>331</v>
      </c>
      <c r="D3" s="76" t="s">
        <v>332</v>
      </c>
      <c r="E3" s="76" t="s">
        <v>333</v>
      </c>
      <c r="F3" s="75"/>
      <c r="G3" s="75" t="s">
        <v>334</v>
      </c>
      <c r="H3" s="75" t="s">
        <v>335</v>
      </c>
      <c r="I3" s="75" t="s">
        <v>76</v>
      </c>
      <c r="J3" s="75"/>
      <c r="K3" s="75" t="s">
        <v>1203</v>
      </c>
      <c r="L3" s="75" t="s">
        <v>336</v>
      </c>
      <c r="M3" s="75"/>
      <c r="N3" s="75"/>
      <c r="O3" s="75"/>
    </row>
    <row r="4" spans="1:15">
      <c r="A4" s="75" t="s">
        <v>337</v>
      </c>
      <c r="B4" s="71"/>
      <c r="C4" s="73" t="s">
        <v>338</v>
      </c>
      <c r="D4" s="76"/>
      <c r="E4" s="76"/>
      <c r="F4" s="75"/>
      <c r="G4" s="75"/>
      <c r="H4" s="75"/>
      <c r="I4" s="75"/>
      <c r="J4" s="75"/>
      <c r="K4" s="75"/>
      <c r="L4" s="75"/>
      <c r="M4" s="75"/>
      <c r="N4" s="75"/>
      <c r="O4" s="75"/>
    </row>
    <row r="5" spans="1:15" ht="45">
      <c r="A5" s="75"/>
      <c r="B5" s="71">
        <v>2</v>
      </c>
      <c r="C5" s="76" t="s">
        <v>339</v>
      </c>
      <c r="D5" s="76"/>
      <c r="E5" s="76" t="s">
        <v>340</v>
      </c>
      <c r="F5" s="75"/>
      <c r="G5" s="75" t="s">
        <v>334</v>
      </c>
      <c r="H5" s="75" t="s">
        <v>341</v>
      </c>
      <c r="I5" s="75" t="s">
        <v>76</v>
      </c>
      <c r="J5" s="75"/>
      <c r="K5" s="75" t="s">
        <v>1204</v>
      </c>
      <c r="L5" s="75" t="s">
        <v>336</v>
      </c>
      <c r="M5" s="75"/>
      <c r="N5" s="75"/>
      <c r="O5" s="75"/>
    </row>
    <row r="6" spans="1:15" ht="105">
      <c r="A6" s="75"/>
      <c r="B6" s="71">
        <v>3</v>
      </c>
      <c r="C6" s="76" t="s">
        <v>342</v>
      </c>
      <c r="D6" s="76"/>
      <c r="E6" s="77" t="s">
        <v>1170</v>
      </c>
      <c r="F6" s="75"/>
      <c r="G6" s="75" t="s">
        <v>334</v>
      </c>
      <c r="H6" s="75" t="s">
        <v>341</v>
      </c>
      <c r="I6" s="75" t="s">
        <v>76</v>
      </c>
      <c r="J6" s="75"/>
      <c r="K6" s="75" t="s">
        <v>1204</v>
      </c>
      <c r="L6" s="75" t="s">
        <v>336</v>
      </c>
      <c r="M6" s="75"/>
      <c r="N6" s="75"/>
      <c r="O6" s="75"/>
    </row>
    <row r="7" spans="1:15" ht="30.75" customHeight="1">
      <c r="A7" s="75"/>
      <c r="B7" s="71">
        <v>4</v>
      </c>
      <c r="C7" s="76" t="s">
        <v>343</v>
      </c>
      <c r="D7" s="76" t="s">
        <v>344</v>
      </c>
      <c r="E7" s="76" t="s">
        <v>345</v>
      </c>
      <c r="F7" s="75"/>
      <c r="G7" s="75" t="s">
        <v>334</v>
      </c>
      <c r="H7" s="75" t="s">
        <v>341</v>
      </c>
      <c r="I7" s="75" t="s">
        <v>76</v>
      </c>
      <c r="J7" s="75"/>
      <c r="K7" s="75" t="s">
        <v>1204</v>
      </c>
      <c r="L7" s="75" t="s">
        <v>336</v>
      </c>
      <c r="M7" s="75"/>
      <c r="N7" s="75"/>
      <c r="O7" s="75"/>
    </row>
    <row r="8" spans="1:15" ht="47.25" customHeight="1">
      <c r="A8" s="75"/>
      <c r="B8" s="71">
        <v>5</v>
      </c>
      <c r="C8" s="76" t="s">
        <v>346</v>
      </c>
      <c r="D8" s="76"/>
      <c r="E8" s="76" t="s">
        <v>347</v>
      </c>
      <c r="F8" s="75"/>
      <c r="G8" s="75" t="s">
        <v>334</v>
      </c>
      <c r="H8" s="75" t="s">
        <v>341</v>
      </c>
      <c r="I8" s="75" t="s">
        <v>76</v>
      </c>
      <c r="J8" s="75"/>
      <c r="K8" s="75" t="s">
        <v>1204</v>
      </c>
      <c r="L8" s="75" t="s">
        <v>336</v>
      </c>
      <c r="M8" s="75"/>
      <c r="N8" s="75"/>
      <c r="O8" s="75"/>
    </row>
    <row r="9" spans="1:15" ht="47.25" customHeight="1">
      <c r="A9" s="75"/>
      <c r="B9" s="71">
        <v>6</v>
      </c>
      <c r="C9" s="76" t="s">
        <v>1172</v>
      </c>
      <c r="D9" s="76" t="s">
        <v>1173</v>
      </c>
      <c r="E9" s="76" t="s">
        <v>1174</v>
      </c>
      <c r="F9" s="75"/>
      <c r="G9" s="75" t="s">
        <v>334</v>
      </c>
      <c r="H9" s="75" t="s">
        <v>341</v>
      </c>
      <c r="I9" s="75" t="s">
        <v>76</v>
      </c>
      <c r="J9" s="75"/>
      <c r="K9" s="75" t="s">
        <v>1203</v>
      </c>
      <c r="L9" s="75" t="s">
        <v>336</v>
      </c>
      <c r="M9" s="75"/>
      <c r="N9" s="75"/>
      <c r="O9" s="75"/>
    </row>
    <row r="10" spans="1:15" ht="30">
      <c r="A10" s="75"/>
      <c r="B10" s="71">
        <v>7</v>
      </c>
      <c r="C10" s="76" t="s">
        <v>348</v>
      </c>
      <c r="D10" s="76" t="s">
        <v>349</v>
      </c>
      <c r="E10" s="76" t="s">
        <v>350</v>
      </c>
      <c r="F10" s="75"/>
      <c r="G10" s="75" t="s">
        <v>334</v>
      </c>
      <c r="H10" s="75" t="s">
        <v>341</v>
      </c>
      <c r="I10" s="75" t="s">
        <v>76</v>
      </c>
      <c r="J10" s="75"/>
      <c r="K10" s="75" t="s">
        <v>1203</v>
      </c>
      <c r="L10" s="75" t="s">
        <v>336</v>
      </c>
      <c r="M10" s="75"/>
      <c r="N10" s="75"/>
      <c r="O10" s="75"/>
    </row>
    <row r="11" spans="1:15" ht="30">
      <c r="A11" s="75"/>
      <c r="B11" s="71">
        <v>8</v>
      </c>
      <c r="C11" s="76" t="s">
        <v>351</v>
      </c>
      <c r="D11" s="76" t="s">
        <v>352</v>
      </c>
      <c r="E11" s="76" t="s">
        <v>350</v>
      </c>
      <c r="F11" s="75"/>
      <c r="G11" s="75" t="s">
        <v>334</v>
      </c>
      <c r="H11" s="75" t="s">
        <v>341</v>
      </c>
      <c r="I11" s="75" t="s">
        <v>76</v>
      </c>
      <c r="J11" s="75"/>
      <c r="K11" s="75" t="s">
        <v>1204</v>
      </c>
      <c r="L11" s="75" t="s">
        <v>336</v>
      </c>
      <c r="M11" s="75"/>
      <c r="N11" s="75"/>
      <c r="O11" s="75"/>
    </row>
    <row r="12" spans="1:15" ht="45">
      <c r="A12" s="75"/>
      <c r="B12" s="71">
        <v>9</v>
      </c>
      <c r="C12" s="76" t="s">
        <v>353</v>
      </c>
      <c r="D12" s="76"/>
      <c r="E12" s="76" t="s">
        <v>354</v>
      </c>
      <c r="F12" s="75"/>
      <c r="G12" s="75" t="s">
        <v>334</v>
      </c>
      <c r="H12" s="75" t="s">
        <v>341</v>
      </c>
      <c r="I12" s="75" t="s">
        <v>104</v>
      </c>
      <c r="J12" s="75"/>
      <c r="K12" s="75" t="s">
        <v>1204</v>
      </c>
      <c r="L12" s="75" t="s">
        <v>336</v>
      </c>
      <c r="M12" s="75"/>
      <c r="N12" s="75"/>
      <c r="O12" s="75"/>
    </row>
    <row r="13" spans="1:15">
      <c r="A13" s="75"/>
      <c r="B13" s="71">
        <v>10</v>
      </c>
      <c r="C13" s="76" t="s">
        <v>355</v>
      </c>
      <c r="D13" s="76"/>
      <c r="E13" s="76" t="s">
        <v>356</v>
      </c>
      <c r="F13" s="75"/>
      <c r="G13" s="75" t="s">
        <v>334</v>
      </c>
      <c r="H13" s="75" t="s">
        <v>341</v>
      </c>
      <c r="I13" s="75" t="s">
        <v>76</v>
      </c>
      <c r="J13" s="75"/>
      <c r="K13" s="75" t="s">
        <v>1204</v>
      </c>
      <c r="L13" s="75" t="s">
        <v>336</v>
      </c>
      <c r="M13" s="75"/>
      <c r="N13" s="75"/>
      <c r="O13" s="75"/>
    </row>
    <row r="14" spans="1:15" ht="30">
      <c r="A14" s="75"/>
      <c r="B14" s="71">
        <v>11</v>
      </c>
      <c r="C14" s="76" t="s">
        <v>357</v>
      </c>
      <c r="D14" s="76"/>
      <c r="E14" s="76" t="s">
        <v>358</v>
      </c>
      <c r="F14" s="75"/>
      <c r="G14" s="75" t="s">
        <v>334</v>
      </c>
      <c r="H14" s="75" t="s">
        <v>341</v>
      </c>
      <c r="I14" s="75" t="s">
        <v>76</v>
      </c>
      <c r="J14" s="75"/>
      <c r="K14" s="75" t="s">
        <v>1203</v>
      </c>
      <c r="L14" s="75" t="s">
        <v>336</v>
      </c>
      <c r="M14" s="75"/>
      <c r="N14" s="75"/>
      <c r="O14" s="75"/>
    </row>
    <row r="15" spans="1:15" ht="60">
      <c r="A15" s="78"/>
      <c r="B15" s="71">
        <v>12</v>
      </c>
      <c r="C15" s="76" t="s">
        <v>359</v>
      </c>
      <c r="D15" s="76"/>
      <c r="E15" s="76" t="s">
        <v>360</v>
      </c>
      <c r="F15" s="75"/>
      <c r="G15" s="75" t="s">
        <v>334</v>
      </c>
      <c r="H15" s="75" t="s">
        <v>341</v>
      </c>
      <c r="I15" s="75" t="s">
        <v>104</v>
      </c>
      <c r="J15" s="75"/>
      <c r="K15" s="75" t="s">
        <v>1204</v>
      </c>
      <c r="L15" s="75" t="s">
        <v>336</v>
      </c>
      <c r="M15" s="75"/>
      <c r="N15" s="75"/>
      <c r="O15" s="75"/>
    </row>
    <row r="16" spans="1:15" ht="45">
      <c r="A16" s="78"/>
      <c r="B16" s="71">
        <v>13</v>
      </c>
      <c r="C16" s="76" t="s">
        <v>361</v>
      </c>
      <c r="D16" s="76"/>
      <c r="E16" s="77" t="s">
        <v>362</v>
      </c>
      <c r="F16" s="75"/>
      <c r="G16" s="75" t="s">
        <v>334</v>
      </c>
      <c r="H16" s="75" t="s">
        <v>341</v>
      </c>
      <c r="I16" s="79" t="s">
        <v>76</v>
      </c>
      <c r="J16" s="75"/>
      <c r="K16" s="75" t="s">
        <v>1203</v>
      </c>
      <c r="L16" s="75" t="s">
        <v>336</v>
      </c>
      <c r="M16" s="75"/>
      <c r="N16" s="75"/>
      <c r="O16" s="75"/>
    </row>
    <row r="17" spans="1:15" ht="45">
      <c r="A17" s="78"/>
      <c r="B17" s="71">
        <v>14</v>
      </c>
      <c r="C17" s="76" t="s">
        <v>363</v>
      </c>
      <c r="D17" s="76"/>
      <c r="E17" s="77" t="s">
        <v>364</v>
      </c>
      <c r="F17" s="75"/>
      <c r="G17" s="75" t="s">
        <v>334</v>
      </c>
      <c r="H17" s="75" t="s">
        <v>341</v>
      </c>
      <c r="I17" s="75" t="s">
        <v>76</v>
      </c>
      <c r="J17" s="75"/>
      <c r="K17" s="75" t="s">
        <v>1204</v>
      </c>
      <c r="L17" s="75" t="s">
        <v>336</v>
      </c>
      <c r="M17" s="75"/>
      <c r="N17" s="75"/>
      <c r="O17" s="75"/>
    </row>
    <row r="18" spans="1:15" s="83" customFormat="1" ht="30">
      <c r="A18" s="80"/>
      <c r="B18" s="71">
        <v>15</v>
      </c>
      <c r="C18" s="76" t="s">
        <v>365</v>
      </c>
      <c r="D18" s="76"/>
      <c r="E18" s="76" t="s">
        <v>366</v>
      </c>
      <c r="F18" s="75"/>
      <c r="G18" s="75" t="s">
        <v>334</v>
      </c>
      <c r="H18" s="75" t="s">
        <v>341</v>
      </c>
      <c r="I18" s="75" t="s">
        <v>104</v>
      </c>
      <c r="J18" s="75"/>
      <c r="K18" s="75" t="s">
        <v>1204</v>
      </c>
      <c r="L18" s="75" t="s">
        <v>336</v>
      </c>
      <c r="M18" s="81"/>
      <c r="N18" s="82"/>
      <c r="O18" s="75"/>
    </row>
    <row r="19" spans="1:15" s="83" customFormat="1" ht="45">
      <c r="A19" s="80"/>
      <c r="B19" s="71">
        <v>16</v>
      </c>
      <c r="C19" s="76" t="s">
        <v>367</v>
      </c>
      <c r="D19" s="76"/>
      <c r="E19" s="76" t="s">
        <v>368</v>
      </c>
      <c r="F19" s="75"/>
      <c r="G19" s="75" t="s">
        <v>334</v>
      </c>
      <c r="H19" s="75" t="s">
        <v>341</v>
      </c>
      <c r="I19" s="75" t="s">
        <v>104</v>
      </c>
      <c r="J19" s="75"/>
      <c r="K19" s="75" t="s">
        <v>1204</v>
      </c>
      <c r="L19" s="75" t="s">
        <v>336</v>
      </c>
      <c r="M19" s="81"/>
      <c r="N19" s="82"/>
      <c r="O19" s="75"/>
    </row>
    <row r="20" spans="1:15" s="83" customFormat="1" ht="45.75" customHeight="1">
      <c r="A20" s="80"/>
      <c r="B20" s="71">
        <v>17</v>
      </c>
      <c r="C20" s="76" t="s">
        <v>369</v>
      </c>
      <c r="D20" s="76"/>
      <c r="E20" s="76" t="s">
        <v>370</v>
      </c>
      <c r="F20" s="75"/>
      <c r="G20" s="75" t="s">
        <v>334</v>
      </c>
      <c r="H20" s="75" t="s">
        <v>341</v>
      </c>
      <c r="I20" s="75" t="s">
        <v>104</v>
      </c>
      <c r="J20" s="75"/>
      <c r="K20" s="75" t="s">
        <v>1204</v>
      </c>
      <c r="L20" s="75" t="s">
        <v>336</v>
      </c>
      <c r="M20" s="81"/>
      <c r="N20" s="82"/>
      <c r="O20" s="75"/>
    </row>
    <row r="21" spans="1:15" s="83" customFormat="1" ht="30">
      <c r="A21" s="80"/>
      <c r="B21" s="71">
        <v>18</v>
      </c>
      <c r="C21" s="76" t="s">
        <v>371</v>
      </c>
      <c r="D21" s="76"/>
      <c r="E21" s="76" t="s">
        <v>372</v>
      </c>
      <c r="F21" s="75"/>
      <c r="G21" s="75" t="s">
        <v>334</v>
      </c>
      <c r="H21" s="75" t="s">
        <v>341</v>
      </c>
      <c r="I21" s="75" t="s">
        <v>104</v>
      </c>
      <c r="J21" s="75"/>
      <c r="K21" s="75" t="s">
        <v>1204</v>
      </c>
      <c r="L21" s="75" t="s">
        <v>336</v>
      </c>
      <c r="M21" s="81"/>
      <c r="N21" s="82"/>
      <c r="O21" s="75"/>
    </row>
    <row r="22" spans="1:15" s="83" customFormat="1">
      <c r="A22" s="84"/>
      <c r="B22" s="71">
        <v>19</v>
      </c>
      <c r="C22" s="76" t="s">
        <v>373</v>
      </c>
      <c r="D22" s="76"/>
      <c r="E22" s="76" t="s">
        <v>374</v>
      </c>
      <c r="F22" s="75"/>
      <c r="G22" s="75" t="s">
        <v>334</v>
      </c>
      <c r="H22" s="75" t="s">
        <v>341</v>
      </c>
      <c r="I22" s="75" t="s">
        <v>76</v>
      </c>
      <c r="J22" s="75"/>
      <c r="K22" s="75" t="s">
        <v>1203</v>
      </c>
      <c r="L22" s="75" t="s">
        <v>336</v>
      </c>
      <c r="M22" s="81"/>
      <c r="N22" s="82"/>
      <c r="O22" s="75"/>
    </row>
    <row r="23" spans="1:15">
      <c r="A23" s="75" t="s">
        <v>375</v>
      </c>
      <c r="B23" s="71"/>
      <c r="C23" s="73" t="s">
        <v>376</v>
      </c>
      <c r="D23" s="76"/>
      <c r="E23" s="76"/>
      <c r="F23" s="75"/>
      <c r="G23" s="75"/>
      <c r="H23" s="75"/>
      <c r="I23" s="75"/>
      <c r="J23" s="75"/>
      <c r="K23" s="75"/>
      <c r="L23" s="75"/>
      <c r="M23" s="75"/>
      <c r="N23" s="75"/>
      <c r="O23" s="75"/>
    </row>
    <row r="24" spans="1:15" ht="30">
      <c r="A24" s="75"/>
      <c r="B24" s="71">
        <v>20</v>
      </c>
      <c r="C24" s="76" t="s">
        <v>377</v>
      </c>
      <c r="D24" s="76"/>
      <c r="E24" s="76" t="s">
        <v>1171</v>
      </c>
      <c r="F24" s="75"/>
      <c r="G24" s="75" t="s">
        <v>334</v>
      </c>
      <c r="H24" s="75" t="s">
        <v>341</v>
      </c>
      <c r="I24" s="75" t="s">
        <v>76</v>
      </c>
      <c r="J24" s="75"/>
      <c r="K24" s="75" t="s">
        <v>1203</v>
      </c>
      <c r="L24" s="75" t="s">
        <v>336</v>
      </c>
      <c r="M24" s="75"/>
      <c r="N24" s="75"/>
      <c r="O24" s="75"/>
    </row>
    <row r="25" spans="1:15" ht="30">
      <c r="A25" s="75"/>
      <c r="B25" s="71">
        <v>21</v>
      </c>
      <c r="C25" s="76" t="s">
        <v>378</v>
      </c>
      <c r="D25" s="76"/>
      <c r="E25" s="76" t="s">
        <v>379</v>
      </c>
      <c r="F25" s="75"/>
      <c r="G25" s="75" t="s">
        <v>334</v>
      </c>
      <c r="H25" s="75" t="s">
        <v>341</v>
      </c>
      <c r="I25" s="75" t="s">
        <v>104</v>
      </c>
      <c r="J25" s="75"/>
      <c r="K25" s="75" t="s">
        <v>1204</v>
      </c>
      <c r="L25" s="75" t="s">
        <v>336</v>
      </c>
      <c r="M25" s="75"/>
      <c r="N25" s="75"/>
      <c r="O25" s="75"/>
    </row>
    <row r="26" spans="1:15" ht="60">
      <c r="A26" s="75"/>
      <c r="B26" s="71"/>
      <c r="C26" s="73" t="s">
        <v>380</v>
      </c>
      <c r="D26" s="76"/>
      <c r="E26" s="76"/>
      <c r="F26" s="75"/>
      <c r="G26" s="75"/>
      <c r="H26" s="75"/>
      <c r="I26" s="75"/>
      <c r="J26" s="75"/>
      <c r="K26" s="75"/>
      <c r="L26" s="75"/>
      <c r="M26" s="75"/>
      <c r="N26" s="75"/>
      <c r="O26" s="75"/>
    </row>
    <row r="27" spans="1:15" ht="114.75">
      <c r="A27" s="75"/>
      <c r="B27" s="71">
        <v>22</v>
      </c>
      <c r="C27" s="85" t="s">
        <v>381</v>
      </c>
      <c r="D27" s="86"/>
      <c r="E27" s="85" t="s">
        <v>382</v>
      </c>
      <c r="F27" s="75"/>
      <c r="G27" s="75" t="s">
        <v>334</v>
      </c>
      <c r="H27" s="75" t="s">
        <v>341</v>
      </c>
      <c r="I27" s="75" t="s">
        <v>76</v>
      </c>
      <c r="J27" s="75"/>
      <c r="K27" s="75" t="s">
        <v>1204</v>
      </c>
      <c r="L27" s="75" t="s">
        <v>336</v>
      </c>
      <c r="M27" s="75"/>
      <c r="N27" s="75"/>
      <c r="O27" s="75"/>
    </row>
    <row r="28" spans="1:15" ht="30">
      <c r="A28" s="75"/>
      <c r="B28" s="71">
        <v>23</v>
      </c>
      <c r="C28" s="70" t="s">
        <v>383</v>
      </c>
      <c r="D28" s="87"/>
      <c r="E28" s="70" t="s">
        <v>384</v>
      </c>
      <c r="F28" s="75"/>
      <c r="G28" s="75" t="s">
        <v>334</v>
      </c>
      <c r="H28" s="75" t="s">
        <v>341</v>
      </c>
      <c r="I28" s="75" t="s">
        <v>104</v>
      </c>
      <c r="J28" s="75"/>
      <c r="K28" s="75" t="s">
        <v>1204</v>
      </c>
      <c r="L28" s="75" t="s">
        <v>336</v>
      </c>
      <c r="N28" s="75"/>
      <c r="O28" s="75"/>
    </row>
    <row r="29" spans="1:15" ht="30">
      <c r="A29" s="75"/>
      <c r="B29" s="71">
        <v>24</v>
      </c>
      <c r="C29" s="76" t="s">
        <v>385</v>
      </c>
      <c r="D29" s="76"/>
      <c r="E29" s="76" t="s">
        <v>386</v>
      </c>
      <c r="F29" s="75"/>
      <c r="G29" s="75" t="s">
        <v>334</v>
      </c>
      <c r="H29" s="75" t="s">
        <v>341</v>
      </c>
      <c r="I29" s="75" t="s">
        <v>104</v>
      </c>
      <c r="J29" s="75"/>
      <c r="K29" s="75" t="s">
        <v>1204</v>
      </c>
      <c r="L29" s="75" t="s">
        <v>336</v>
      </c>
      <c r="M29" s="87"/>
      <c r="N29" s="75"/>
      <c r="O29" s="75"/>
    </row>
    <row r="30" spans="1:15" ht="30">
      <c r="A30" s="75"/>
      <c r="B30" s="71">
        <v>25</v>
      </c>
      <c r="C30" s="76" t="s">
        <v>387</v>
      </c>
      <c r="D30" s="76"/>
      <c r="E30" s="76" t="s">
        <v>388</v>
      </c>
      <c r="F30" s="75"/>
      <c r="G30" s="75" t="s">
        <v>334</v>
      </c>
      <c r="H30" s="75" t="s">
        <v>341</v>
      </c>
      <c r="I30" s="75" t="s">
        <v>104</v>
      </c>
      <c r="J30" s="75"/>
      <c r="K30" s="75" t="s">
        <v>1204</v>
      </c>
      <c r="L30" s="75" t="s">
        <v>336</v>
      </c>
      <c r="M30" s="87"/>
      <c r="N30" s="75"/>
      <c r="O30" s="75"/>
    </row>
    <row r="31" spans="1:15" ht="30">
      <c r="A31" s="75"/>
      <c r="B31" s="71">
        <v>26</v>
      </c>
      <c r="C31" s="76" t="s">
        <v>389</v>
      </c>
      <c r="D31" s="76"/>
      <c r="E31" s="76" t="s">
        <v>390</v>
      </c>
      <c r="F31" s="75"/>
      <c r="G31" s="75" t="s">
        <v>334</v>
      </c>
      <c r="H31" s="75" t="s">
        <v>341</v>
      </c>
      <c r="I31" s="75" t="s">
        <v>104</v>
      </c>
      <c r="J31" s="75"/>
      <c r="K31" s="75" t="s">
        <v>1204</v>
      </c>
      <c r="L31" s="75" t="s">
        <v>336</v>
      </c>
      <c r="M31" s="87"/>
      <c r="N31" s="75"/>
      <c r="O31" s="75"/>
    </row>
    <row r="32" spans="1:15" ht="45">
      <c r="A32" s="75"/>
      <c r="B32" s="71">
        <v>27</v>
      </c>
      <c r="C32" s="76" t="s">
        <v>391</v>
      </c>
      <c r="D32" s="76"/>
      <c r="E32" s="76" t="s">
        <v>392</v>
      </c>
      <c r="F32" s="75"/>
      <c r="G32" s="75" t="s">
        <v>334</v>
      </c>
      <c r="H32" s="75" t="s">
        <v>341</v>
      </c>
      <c r="I32" s="75" t="s">
        <v>104</v>
      </c>
      <c r="J32" s="75"/>
      <c r="K32" s="75" t="s">
        <v>1204</v>
      </c>
      <c r="L32" s="75" t="s">
        <v>336</v>
      </c>
      <c r="M32" s="87"/>
      <c r="N32" s="75"/>
      <c r="O32" s="75"/>
    </row>
    <row r="33" spans="1:15" ht="30">
      <c r="A33" s="75"/>
      <c r="B33" s="71">
        <v>28</v>
      </c>
      <c r="C33" s="76" t="s">
        <v>393</v>
      </c>
      <c r="D33" s="76"/>
      <c r="E33" s="76" t="s">
        <v>394</v>
      </c>
      <c r="F33" s="75"/>
      <c r="G33" s="75" t="s">
        <v>334</v>
      </c>
      <c r="H33" s="75" t="s">
        <v>341</v>
      </c>
      <c r="I33" s="75" t="s">
        <v>104</v>
      </c>
      <c r="J33" s="75"/>
      <c r="K33" s="75" t="s">
        <v>1204</v>
      </c>
      <c r="L33" s="75" t="s">
        <v>336</v>
      </c>
      <c r="M33" s="87"/>
      <c r="N33" s="75"/>
      <c r="O33" s="75"/>
    </row>
    <row r="34" spans="1:15">
      <c r="A34" s="75"/>
      <c r="B34" s="71">
        <v>29</v>
      </c>
      <c r="C34" s="76" t="s">
        <v>395</v>
      </c>
      <c r="D34" s="76"/>
      <c r="E34" s="76" t="s">
        <v>396</v>
      </c>
      <c r="F34" s="75"/>
      <c r="G34" s="75" t="s">
        <v>334</v>
      </c>
      <c r="H34" s="75" t="s">
        <v>341</v>
      </c>
      <c r="I34" s="75" t="s">
        <v>76</v>
      </c>
      <c r="J34" s="75"/>
      <c r="K34" s="75" t="s">
        <v>1204</v>
      </c>
      <c r="L34" s="75" t="s">
        <v>336</v>
      </c>
      <c r="M34" s="87"/>
      <c r="N34" s="75"/>
      <c r="O34" s="75"/>
    </row>
    <row r="35" spans="1:15" ht="44.25" customHeight="1">
      <c r="A35" s="75"/>
      <c r="B35" s="71">
        <v>30</v>
      </c>
      <c r="C35" s="76" t="s">
        <v>397</v>
      </c>
      <c r="D35" s="76"/>
      <c r="E35" s="76" t="s">
        <v>398</v>
      </c>
      <c r="F35" s="75"/>
      <c r="G35" s="75" t="s">
        <v>334</v>
      </c>
      <c r="H35" s="75" t="s">
        <v>341</v>
      </c>
      <c r="I35" s="75" t="s">
        <v>76</v>
      </c>
      <c r="J35" s="75"/>
      <c r="K35" s="75" t="s">
        <v>1203</v>
      </c>
      <c r="L35" s="75" t="s">
        <v>336</v>
      </c>
      <c r="M35" s="87"/>
      <c r="N35" s="75"/>
      <c r="O35" s="75"/>
    </row>
    <row r="36" spans="1:15">
      <c r="A36" s="75"/>
      <c r="B36" s="71">
        <v>31</v>
      </c>
      <c r="C36" s="76" t="s">
        <v>399</v>
      </c>
      <c r="D36" s="76"/>
      <c r="E36" s="76" t="s">
        <v>400</v>
      </c>
      <c r="F36" s="75"/>
      <c r="G36" s="75" t="s">
        <v>334</v>
      </c>
      <c r="H36" s="75" t="s">
        <v>341</v>
      </c>
      <c r="I36" s="75" t="s">
        <v>76</v>
      </c>
      <c r="J36" s="75"/>
      <c r="K36" s="75" t="s">
        <v>1203</v>
      </c>
      <c r="L36" s="75" t="s">
        <v>336</v>
      </c>
      <c r="M36" s="87"/>
      <c r="N36" s="75"/>
      <c r="O36" s="75"/>
    </row>
    <row r="37" spans="1:15" ht="30">
      <c r="A37" s="75"/>
      <c r="B37" s="71"/>
      <c r="C37" s="73" t="s">
        <v>401</v>
      </c>
      <c r="D37" s="76"/>
      <c r="E37" s="76"/>
      <c r="F37" s="75"/>
      <c r="G37" s="75"/>
      <c r="H37" s="75"/>
      <c r="I37" s="75"/>
      <c r="J37" s="75"/>
      <c r="K37" s="75"/>
      <c r="L37" s="75"/>
      <c r="M37" s="75"/>
      <c r="N37" s="75"/>
      <c r="O37" s="75"/>
    </row>
    <row r="38" spans="1:15" ht="30">
      <c r="A38" s="75"/>
      <c r="B38" s="71">
        <v>32</v>
      </c>
      <c r="C38" s="76" t="s">
        <v>402</v>
      </c>
      <c r="E38" s="76" t="s">
        <v>403</v>
      </c>
      <c r="F38" s="75"/>
      <c r="G38" s="75" t="s">
        <v>334</v>
      </c>
      <c r="H38" s="75" t="s">
        <v>341</v>
      </c>
      <c r="I38" s="75" t="s">
        <v>104</v>
      </c>
      <c r="J38" s="75"/>
      <c r="K38" s="75" t="s">
        <v>1204</v>
      </c>
      <c r="L38" s="75" t="s">
        <v>336</v>
      </c>
      <c r="M38" s="75"/>
      <c r="N38" s="75"/>
      <c r="O38" s="75"/>
    </row>
    <row r="39" spans="1:15" ht="30">
      <c r="A39" s="75"/>
      <c r="B39" s="71">
        <v>33</v>
      </c>
      <c r="C39" s="76" t="s">
        <v>404</v>
      </c>
      <c r="D39" s="76"/>
      <c r="E39" s="76" t="s">
        <v>405</v>
      </c>
      <c r="F39" s="75"/>
      <c r="G39" s="75" t="s">
        <v>334</v>
      </c>
      <c r="H39" s="75" t="s">
        <v>341</v>
      </c>
      <c r="I39" s="75" t="s">
        <v>104</v>
      </c>
      <c r="J39" s="75"/>
      <c r="K39" s="75" t="s">
        <v>1204</v>
      </c>
      <c r="L39" s="75" t="s">
        <v>336</v>
      </c>
      <c r="M39" s="75"/>
      <c r="N39" s="75"/>
      <c r="O39" s="75"/>
    </row>
    <row r="40" spans="1:15" ht="30">
      <c r="A40" s="75"/>
      <c r="B40" s="71">
        <v>34</v>
      </c>
      <c r="C40" s="70" t="s">
        <v>406</v>
      </c>
      <c r="D40" s="87"/>
      <c r="E40" s="70" t="s">
        <v>407</v>
      </c>
      <c r="F40" s="75"/>
      <c r="G40" s="75" t="s">
        <v>334</v>
      </c>
      <c r="H40" s="75" t="s">
        <v>341</v>
      </c>
      <c r="I40" s="75" t="s">
        <v>104</v>
      </c>
      <c r="J40" s="75"/>
      <c r="K40" s="75" t="s">
        <v>1204</v>
      </c>
      <c r="L40" s="75" t="s">
        <v>336</v>
      </c>
      <c r="M40" s="75"/>
      <c r="N40" s="75"/>
      <c r="O40" s="75"/>
    </row>
    <row r="41" spans="1:15" ht="30">
      <c r="A41" s="75"/>
      <c r="B41" s="71">
        <v>35</v>
      </c>
      <c r="C41" s="76" t="s">
        <v>408</v>
      </c>
      <c r="D41" s="76"/>
      <c r="E41" s="76" t="s">
        <v>409</v>
      </c>
      <c r="F41" s="75"/>
      <c r="G41" s="75" t="s">
        <v>334</v>
      </c>
      <c r="H41" s="75" t="s">
        <v>341</v>
      </c>
      <c r="I41" s="75" t="s">
        <v>104</v>
      </c>
      <c r="J41" s="75"/>
      <c r="K41" s="75" t="s">
        <v>1204</v>
      </c>
      <c r="L41" s="75" t="s">
        <v>336</v>
      </c>
      <c r="M41" s="75"/>
      <c r="N41" s="75"/>
      <c r="O41" s="75"/>
    </row>
    <row r="42" spans="1:15" ht="30">
      <c r="A42" s="75"/>
      <c r="B42" s="71">
        <v>36</v>
      </c>
      <c r="C42" s="76" t="s">
        <v>410</v>
      </c>
      <c r="D42" s="76"/>
      <c r="E42" s="76" t="s">
        <v>411</v>
      </c>
      <c r="F42" s="75"/>
      <c r="G42" s="75" t="s">
        <v>334</v>
      </c>
      <c r="H42" s="75" t="s">
        <v>341</v>
      </c>
      <c r="I42" s="75" t="s">
        <v>104</v>
      </c>
      <c r="J42" s="75"/>
      <c r="K42" s="75" t="s">
        <v>1204</v>
      </c>
      <c r="L42" s="75" t="s">
        <v>336</v>
      </c>
      <c r="M42" s="75"/>
      <c r="N42" s="75"/>
      <c r="O42" s="75"/>
    </row>
    <row r="43" spans="1:15">
      <c r="A43" s="75"/>
      <c r="B43" s="71">
        <v>37</v>
      </c>
      <c r="C43" s="76" t="s">
        <v>412</v>
      </c>
      <c r="D43" s="76"/>
      <c r="E43" s="76" t="s">
        <v>396</v>
      </c>
      <c r="F43" s="75"/>
      <c r="G43" s="75" t="s">
        <v>334</v>
      </c>
      <c r="H43" s="75" t="s">
        <v>341</v>
      </c>
      <c r="I43" s="75" t="s">
        <v>76</v>
      </c>
      <c r="J43" s="75"/>
      <c r="K43" s="75" t="s">
        <v>1204</v>
      </c>
      <c r="L43" s="75" t="s">
        <v>336</v>
      </c>
      <c r="M43" s="75"/>
      <c r="N43" s="75"/>
      <c r="O43" s="75"/>
    </row>
    <row r="44" spans="1:15" ht="28.5" customHeight="1">
      <c r="A44" s="75"/>
      <c r="B44" s="71">
        <v>38</v>
      </c>
      <c r="C44" s="76" t="s">
        <v>413</v>
      </c>
      <c r="D44" s="76"/>
      <c r="E44" s="76" t="s">
        <v>414</v>
      </c>
      <c r="F44" s="75"/>
      <c r="G44" s="75" t="s">
        <v>334</v>
      </c>
      <c r="H44" s="75" t="s">
        <v>341</v>
      </c>
      <c r="I44" s="75" t="s">
        <v>104</v>
      </c>
      <c r="J44" s="75"/>
      <c r="K44" s="75" t="s">
        <v>1204</v>
      </c>
      <c r="L44" s="75" t="s">
        <v>336</v>
      </c>
      <c r="M44" s="75"/>
      <c r="N44" s="75"/>
      <c r="O44" s="75"/>
    </row>
    <row r="45" spans="1:15" ht="44.25" customHeight="1">
      <c r="A45" s="75"/>
      <c r="B45" s="71">
        <v>39</v>
      </c>
      <c r="C45" s="76" t="s">
        <v>415</v>
      </c>
      <c r="D45" s="76"/>
      <c r="E45" s="76" t="s">
        <v>416</v>
      </c>
      <c r="F45" s="75"/>
      <c r="G45" s="75" t="s">
        <v>334</v>
      </c>
      <c r="H45" s="75" t="s">
        <v>341</v>
      </c>
      <c r="I45" s="75" t="s">
        <v>104</v>
      </c>
      <c r="J45" s="75"/>
      <c r="K45" s="75" t="s">
        <v>1204</v>
      </c>
      <c r="L45" s="75" t="s">
        <v>336</v>
      </c>
      <c r="M45" s="75"/>
      <c r="N45" s="75"/>
      <c r="O45" s="75"/>
    </row>
    <row r="46" spans="1:15" ht="28.5" customHeight="1">
      <c r="A46" s="75"/>
      <c r="B46" s="71">
        <v>40</v>
      </c>
      <c r="C46" s="76" t="s">
        <v>417</v>
      </c>
      <c r="D46" s="76"/>
      <c r="E46" s="76" t="s">
        <v>418</v>
      </c>
      <c r="F46" s="75"/>
      <c r="G46" s="75" t="s">
        <v>334</v>
      </c>
      <c r="H46" s="75" t="s">
        <v>341</v>
      </c>
      <c r="I46" s="75" t="s">
        <v>76</v>
      </c>
      <c r="J46" s="75"/>
      <c r="K46" s="75" t="s">
        <v>1204</v>
      </c>
      <c r="L46" s="75" t="s">
        <v>336</v>
      </c>
      <c r="M46" s="75"/>
      <c r="N46" s="75"/>
      <c r="O46" s="75"/>
    </row>
    <row r="47" spans="1:15" ht="48" customHeight="1">
      <c r="A47" s="75"/>
      <c r="B47" s="71">
        <v>41</v>
      </c>
      <c r="C47" s="76" t="s">
        <v>419</v>
      </c>
      <c r="D47" s="76"/>
      <c r="E47" s="76" t="s">
        <v>420</v>
      </c>
      <c r="F47" s="75"/>
      <c r="G47" s="75" t="s">
        <v>334</v>
      </c>
      <c r="H47" s="75" t="s">
        <v>341</v>
      </c>
      <c r="I47" s="75" t="s">
        <v>104</v>
      </c>
      <c r="J47" s="75"/>
      <c r="K47" s="75" t="s">
        <v>1204</v>
      </c>
      <c r="L47" s="75" t="s">
        <v>336</v>
      </c>
      <c r="M47" s="75"/>
      <c r="N47" s="75"/>
      <c r="O47" s="75"/>
    </row>
    <row r="48" spans="1:15" ht="30">
      <c r="A48" s="75"/>
      <c r="B48" s="71">
        <v>42</v>
      </c>
      <c r="C48" s="76" t="s">
        <v>421</v>
      </c>
      <c r="D48" s="76" t="s">
        <v>422</v>
      </c>
      <c r="E48" s="76" t="s">
        <v>423</v>
      </c>
      <c r="F48" s="75"/>
      <c r="G48" s="75" t="s">
        <v>334</v>
      </c>
      <c r="H48" s="75" t="s">
        <v>341</v>
      </c>
      <c r="I48" s="75" t="s">
        <v>76</v>
      </c>
      <c r="J48" s="75"/>
      <c r="K48" s="75" t="s">
        <v>1204</v>
      </c>
      <c r="L48" s="75" t="s">
        <v>336</v>
      </c>
      <c r="M48" s="75"/>
      <c r="N48" s="75"/>
      <c r="O48" s="75"/>
    </row>
    <row r="49" spans="1:15" ht="30">
      <c r="A49" s="75"/>
      <c r="B49" s="71">
        <v>43</v>
      </c>
      <c r="C49" s="76" t="s">
        <v>424</v>
      </c>
      <c r="D49" s="76" t="s">
        <v>425</v>
      </c>
      <c r="E49" s="76" t="s">
        <v>426</v>
      </c>
      <c r="F49" s="75"/>
      <c r="G49" s="75" t="s">
        <v>334</v>
      </c>
      <c r="H49" s="75" t="s">
        <v>341</v>
      </c>
      <c r="I49" s="75" t="s">
        <v>76</v>
      </c>
      <c r="J49" s="75"/>
      <c r="K49" s="75" t="s">
        <v>1204</v>
      </c>
      <c r="L49" s="75" t="s">
        <v>336</v>
      </c>
      <c r="M49" s="75"/>
      <c r="N49" s="75"/>
      <c r="O49" s="75"/>
    </row>
    <row r="50" spans="1:15" ht="30">
      <c r="A50" s="75"/>
      <c r="B50" s="71">
        <v>44</v>
      </c>
      <c r="C50" s="76" t="s">
        <v>427</v>
      </c>
      <c r="D50" s="76"/>
      <c r="E50" s="76" t="s">
        <v>428</v>
      </c>
      <c r="F50" s="75"/>
      <c r="G50" s="75" t="s">
        <v>334</v>
      </c>
      <c r="H50" s="75" t="s">
        <v>341</v>
      </c>
      <c r="I50" s="75" t="s">
        <v>104</v>
      </c>
      <c r="J50" s="75"/>
      <c r="K50" s="75" t="s">
        <v>1204</v>
      </c>
      <c r="L50" s="75" t="s">
        <v>336</v>
      </c>
      <c r="M50" s="75"/>
      <c r="N50" s="75"/>
      <c r="O50" s="75"/>
    </row>
    <row r="51" spans="1:15" ht="30">
      <c r="A51" s="75"/>
      <c r="B51" s="71">
        <v>45</v>
      </c>
      <c r="C51" s="76" t="s">
        <v>429</v>
      </c>
      <c r="D51" s="76" t="s">
        <v>430</v>
      </c>
      <c r="E51" s="76" t="s">
        <v>431</v>
      </c>
      <c r="F51" s="75"/>
      <c r="G51" s="75" t="s">
        <v>334</v>
      </c>
      <c r="H51" s="75" t="s">
        <v>341</v>
      </c>
      <c r="I51" s="75" t="s">
        <v>76</v>
      </c>
      <c r="J51" s="75"/>
      <c r="K51" s="75" t="s">
        <v>1204</v>
      </c>
      <c r="L51" s="75" t="s">
        <v>336</v>
      </c>
      <c r="M51" s="75"/>
      <c r="N51" s="75"/>
      <c r="O51" s="75"/>
    </row>
    <row r="52" spans="1:15">
      <c r="A52" s="75" t="s">
        <v>432</v>
      </c>
      <c r="B52" s="71"/>
      <c r="C52" s="73" t="s">
        <v>433</v>
      </c>
      <c r="D52" s="76"/>
      <c r="E52" s="76"/>
      <c r="F52" s="75"/>
      <c r="G52" s="75"/>
      <c r="H52" s="75"/>
      <c r="I52" s="75"/>
      <c r="J52" s="75"/>
      <c r="K52" s="75"/>
      <c r="L52" s="75"/>
      <c r="M52" s="75"/>
      <c r="N52" s="75"/>
      <c r="O52" s="75"/>
    </row>
    <row r="53" spans="1:15">
      <c r="A53" s="75"/>
      <c r="B53" s="71">
        <v>46</v>
      </c>
      <c r="C53" s="76" t="s">
        <v>434</v>
      </c>
      <c r="D53" s="76"/>
      <c r="E53" s="76" t="s">
        <v>1175</v>
      </c>
      <c r="F53" s="75"/>
      <c r="G53" s="75" t="s">
        <v>334</v>
      </c>
      <c r="H53" s="75" t="s">
        <v>341</v>
      </c>
      <c r="I53" s="75" t="s">
        <v>76</v>
      </c>
      <c r="J53" s="75"/>
      <c r="K53" s="75" t="s">
        <v>1203</v>
      </c>
      <c r="L53" s="75" t="s">
        <v>336</v>
      </c>
      <c r="M53" s="75"/>
      <c r="N53" s="75"/>
      <c r="O53" s="60"/>
    </row>
    <row r="54" spans="1:15" ht="45">
      <c r="A54" s="75"/>
      <c r="B54" s="71">
        <v>47</v>
      </c>
      <c r="C54" s="76" t="s">
        <v>435</v>
      </c>
      <c r="D54" s="76"/>
      <c r="E54" s="76" t="s">
        <v>436</v>
      </c>
      <c r="F54" s="75"/>
      <c r="G54" s="75" t="s">
        <v>437</v>
      </c>
      <c r="H54" s="75" t="s">
        <v>341</v>
      </c>
      <c r="I54" s="75" t="s">
        <v>76</v>
      </c>
      <c r="J54" s="75"/>
      <c r="K54" s="75" t="s">
        <v>1204</v>
      </c>
      <c r="L54" s="75" t="s">
        <v>336</v>
      </c>
      <c r="M54" s="75"/>
      <c r="N54" s="75"/>
      <c r="O54" s="60"/>
    </row>
    <row r="55" spans="1:15" ht="30">
      <c r="A55" s="75"/>
      <c r="B55" s="71">
        <v>48</v>
      </c>
      <c r="C55" s="76" t="s">
        <v>438</v>
      </c>
      <c r="D55" s="76"/>
      <c r="E55" s="76" t="s">
        <v>439</v>
      </c>
      <c r="F55" s="75"/>
      <c r="G55" s="75" t="s">
        <v>334</v>
      </c>
      <c r="H55" s="75" t="s">
        <v>341</v>
      </c>
      <c r="I55" s="75" t="s">
        <v>76</v>
      </c>
      <c r="J55" s="75"/>
      <c r="K55" s="75" t="s">
        <v>1204</v>
      </c>
      <c r="L55" s="75" t="s">
        <v>336</v>
      </c>
      <c r="M55" s="75"/>
      <c r="N55" s="75"/>
      <c r="O55" s="75"/>
    </row>
    <row r="56" spans="1:15" ht="30">
      <c r="A56" s="75"/>
      <c r="B56" s="71">
        <v>49</v>
      </c>
      <c r="C56" s="76" t="s">
        <v>440</v>
      </c>
      <c r="D56" s="76" t="s">
        <v>441</v>
      </c>
      <c r="E56" s="76" t="s">
        <v>442</v>
      </c>
      <c r="F56" s="75"/>
      <c r="G56" s="75" t="s">
        <v>334</v>
      </c>
      <c r="H56" s="75" t="s">
        <v>341</v>
      </c>
      <c r="I56" s="75" t="s">
        <v>76</v>
      </c>
      <c r="J56" s="75"/>
      <c r="K56" s="75" t="s">
        <v>1203</v>
      </c>
      <c r="L56" s="75" t="s">
        <v>336</v>
      </c>
      <c r="M56" s="75"/>
      <c r="N56" s="75"/>
      <c r="O56" s="75"/>
    </row>
    <row r="57" spans="1:15">
      <c r="A57" s="75"/>
      <c r="B57" s="71">
        <v>50</v>
      </c>
      <c r="C57" s="76" t="s">
        <v>443</v>
      </c>
      <c r="D57" s="76" t="s">
        <v>444</v>
      </c>
      <c r="E57" s="76" t="s">
        <v>445</v>
      </c>
      <c r="F57" s="75"/>
      <c r="G57" s="75" t="s">
        <v>334</v>
      </c>
      <c r="H57" s="75" t="s">
        <v>341</v>
      </c>
      <c r="I57" s="75" t="s">
        <v>76</v>
      </c>
      <c r="J57" s="75"/>
      <c r="K57" s="75" t="s">
        <v>1204</v>
      </c>
      <c r="L57" s="75" t="s">
        <v>336</v>
      </c>
      <c r="M57" s="75"/>
      <c r="N57" s="75"/>
      <c r="O57" s="75"/>
    </row>
    <row r="58" spans="1:15">
      <c r="A58" s="75"/>
      <c r="B58" s="71"/>
      <c r="C58" s="73" t="s">
        <v>1176</v>
      </c>
      <c r="D58" s="76"/>
      <c r="E58" s="76"/>
      <c r="F58" s="75"/>
      <c r="G58" s="75"/>
      <c r="H58" s="75"/>
      <c r="I58" s="75"/>
      <c r="J58" s="75"/>
      <c r="K58" s="75"/>
      <c r="L58" s="75"/>
      <c r="M58" s="75"/>
      <c r="N58" s="75"/>
      <c r="O58" s="75"/>
    </row>
    <row r="59" spans="1:15" ht="30">
      <c r="A59" s="75"/>
      <c r="B59" s="71">
        <v>51</v>
      </c>
      <c r="C59" s="76" t="s">
        <v>446</v>
      </c>
      <c r="D59" s="76"/>
      <c r="E59" s="76" t="s">
        <v>1177</v>
      </c>
      <c r="F59" s="75"/>
      <c r="G59" s="75" t="s">
        <v>334</v>
      </c>
      <c r="H59" s="75" t="s">
        <v>341</v>
      </c>
      <c r="I59" s="75" t="s">
        <v>76</v>
      </c>
      <c r="J59" s="75"/>
      <c r="K59" s="75" t="s">
        <v>1203</v>
      </c>
      <c r="L59" s="75" t="s">
        <v>336</v>
      </c>
      <c r="M59" s="75"/>
      <c r="N59" s="75"/>
      <c r="O59" s="75"/>
    </row>
    <row r="60" spans="1:15">
      <c r="A60" s="75"/>
      <c r="B60" s="71">
        <v>52</v>
      </c>
      <c r="C60" s="88" t="s">
        <v>447</v>
      </c>
      <c r="D60" s="88"/>
      <c r="E60" s="88" t="s">
        <v>448</v>
      </c>
      <c r="F60" s="75"/>
      <c r="G60" s="75" t="s">
        <v>334</v>
      </c>
      <c r="H60" s="75" t="s">
        <v>341</v>
      </c>
      <c r="I60" s="75" t="s">
        <v>76</v>
      </c>
      <c r="J60" s="75"/>
      <c r="K60" s="75" t="s">
        <v>1204</v>
      </c>
      <c r="L60" s="75" t="s">
        <v>336</v>
      </c>
      <c r="M60" s="75"/>
      <c r="N60" s="75"/>
      <c r="O60" s="75"/>
    </row>
    <row r="61" spans="1:15">
      <c r="A61" s="75"/>
      <c r="B61" s="71">
        <v>53</v>
      </c>
      <c r="C61" s="88" t="s">
        <v>449</v>
      </c>
      <c r="D61" s="88"/>
      <c r="E61" s="88" t="s">
        <v>450</v>
      </c>
      <c r="F61" s="75"/>
      <c r="G61" s="75" t="s">
        <v>334</v>
      </c>
      <c r="H61" s="75" t="s">
        <v>341</v>
      </c>
      <c r="I61" s="75" t="s">
        <v>76</v>
      </c>
      <c r="J61" s="75"/>
      <c r="K61" s="75" t="s">
        <v>1204</v>
      </c>
      <c r="L61" s="75" t="s">
        <v>336</v>
      </c>
      <c r="N61" s="75"/>
      <c r="O61" s="75"/>
    </row>
    <row r="62" spans="1:15" ht="30">
      <c r="A62" s="75"/>
      <c r="B62" s="71">
        <v>54</v>
      </c>
      <c r="C62" s="88" t="s">
        <v>452</v>
      </c>
      <c r="D62" s="88"/>
      <c r="E62" s="88" t="s">
        <v>453</v>
      </c>
      <c r="F62" s="75"/>
      <c r="G62" s="75" t="s">
        <v>334</v>
      </c>
      <c r="H62" s="75" t="s">
        <v>341</v>
      </c>
      <c r="I62" s="75" t="s">
        <v>76</v>
      </c>
      <c r="J62" s="75"/>
      <c r="K62" s="75" t="s">
        <v>1203</v>
      </c>
      <c r="L62" s="75" t="s">
        <v>451</v>
      </c>
      <c r="M62" s="75"/>
      <c r="N62" s="75"/>
      <c r="O62" s="75"/>
    </row>
    <row r="63" spans="1:15">
      <c r="A63" s="75"/>
      <c r="B63" s="71"/>
      <c r="C63" s="73" t="s">
        <v>454</v>
      </c>
      <c r="D63" s="88"/>
      <c r="E63" s="88"/>
      <c r="F63" s="75"/>
      <c r="G63" s="75"/>
      <c r="H63" s="75"/>
      <c r="I63" s="75"/>
      <c r="J63" s="75"/>
      <c r="K63" s="75"/>
      <c r="L63" s="75"/>
      <c r="M63" s="75"/>
      <c r="N63" s="75"/>
      <c r="O63" s="75"/>
    </row>
    <row r="64" spans="1:15" ht="30">
      <c r="A64" s="75"/>
      <c r="B64" s="71">
        <v>55</v>
      </c>
      <c r="C64" s="75" t="s">
        <v>104</v>
      </c>
      <c r="D64" s="88"/>
      <c r="E64" s="88" t="s">
        <v>456</v>
      </c>
      <c r="F64" s="75"/>
      <c r="G64" s="75" t="s">
        <v>334</v>
      </c>
      <c r="H64" s="75" t="s">
        <v>341</v>
      </c>
      <c r="I64" s="75" t="s">
        <v>76</v>
      </c>
      <c r="J64" s="75"/>
      <c r="K64" s="75" t="s">
        <v>1204</v>
      </c>
      <c r="L64" s="75" t="s">
        <v>336</v>
      </c>
      <c r="M64" s="75"/>
      <c r="N64" s="75"/>
      <c r="O64" s="75"/>
    </row>
    <row r="65" spans="1:15">
      <c r="A65" s="75"/>
      <c r="B65" s="71"/>
      <c r="C65" s="73" t="s">
        <v>457</v>
      </c>
      <c r="D65" s="88"/>
      <c r="E65" s="88"/>
      <c r="F65" s="75"/>
      <c r="G65" s="75"/>
      <c r="H65" s="75"/>
      <c r="I65" s="75"/>
      <c r="J65" s="75"/>
      <c r="K65" s="75"/>
      <c r="L65" s="75"/>
      <c r="M65" s="75"/>
      <c r="N65" s="75"/>
      <c r="O65" s="75"/>
    </row>
    <row r="66" spans="1:15" ht="30">
      <c r="A66" s="75"/>
      <c r="B66" s="71">
        <v>56</v>
      </c>
      <c r="C66" s="88" t="s">
        <v>458</v>
      </c>
      <c r="D66" s="88"/>
      <c r="E66" s="88" t="s">
        <v>459</v>
      </c>
      <c r="F66" s="75"/>
      <c r="G66" s="75" t="s">
        <v>334</v>
      </c>
      <c r="H66" s="75" t="s">
        <v>341</v>
      </c>
      <c r="I66" s="75" t="s">
        <v>104</v>
      </c>
      <c r="J66" s="75"/>
      <c r="K66" s="75" t="s">
        <v>1204</v>
      </c>
      <c r="L66" s="75" t="s">
        <v>336</v>
      </c>
      <c r="M66" s="75"/>
      <c r="N66" s="75"/>
      <c r="O66" s="75"/>
    </row>
    <row r="67" spans="1:15">
      <c r="A67" s="75"/>
      <c r="B67" s="71"/>
      <c r="C67" s="73" t="s">
        <v>460</v>
      </c>
      <c r="D67" s="88"/>
      <c r="E67" s="88"/>
      <c r="F67" s="75"/>
      <c r="G67" s="75"/>
      <c r="H67" s="75"/>
      <c r="I67" s="75"/>
      <c r="J67" s="75"/>
      <c r="K67" s="75"/>
      <c r="L67" s="75"/>
      <c r="M67" s="75"/>
      <c r="N67" s="75"/>
      <c r="O67" s="75"/>
    </row>
    <row r="68" spans="1:15" ht="30">
      <c r="A68" s="75"/>
      <c r="B68" s="71">
        <v>57</v>
      </c>
      <c r="C68" s="88" t="s">
        <v>461</v>
      </c>
      <c r="D68" s="88"/>
      <c r="E68" s="88" t="s">
        <v>462</v>
      </c>
      <c r="F68" s="75"/>
      <c r="G68" s="75" t="s">
        <v>334</v>
      </c>
      <c r="H68" s="75" t="s">
        <v>341</v>
      </c>
      <c r="I68" s="75" t="s">
        <v>104</v>
      </c>
      <c r="J68" s="75"/>
      <c r="K68" s="75" t="s">
        <v>1204</v>
      </c>
      <c r="L68" s="75" t="s">
        <v>336</v>
      </c>
      <c r="M68" s="75"/>
      <c r="N68" s="75"/>
      <c r="O68" s="75"/>
    </row>
    <row r="69" spans="1:15">
      <c r="A69" s="75"/>
      <c r="B69" s="71"/>
      <c r="C69" s="73" t="s">
        <v>463</v>
      </c>
      <c r="D69" s="88"/>
      <c r="E69" s="88"/>
      <c r="F69" s="75"/>
      <c r="G69" s="75"/>
      <c r="H69" s="75"/>
      <c r="I69" s="75"/>
      <c r="J69" s="75"/>
      <c r="K69" s="75"/>
      <c r="L69" s="75"/>
      <c r="M69" s="75"/>
      <c r="N69" s="75"/>
      <c r="O69" s="75"/>
    </row>
    <row r="70" spans="1:15">
      <c r="A70" s="75"/>
      <c r="B70" s="71">
        <v>58</v>
      </c>
      <c r="C70" s="88" t="s">
        <v>464</v>
      </c>
      <c r="D70" s="88"/>
      <c r="E70" s="88" t="s">
        <v>465</v>
      </c>
      <c r="F70" s="75"/>
      <c r="G70" s="75" t="s">
        <v>334</v>
      </c>
      <c r="H70" s="75" t="s">
        <v>341</v>
      </c>
      <c r="I70" s="75" t="s">
        <v>104</v>
      </c>
      <c r="J70" s="75"/>
      <c r="K70" s="75" t="s">
        <v>1204</v>
      </c>
      <c r="L70" s="75" t="s">
        <v>336</v>
      </c>
      <c r="M70" s="75"/>
      <c r="N70" s="75"/>
      <c r="O70" s="75"/>
    </row>
    <row r="71" spans="1:15">
      <c r="A71" s="75"/>
      <c r="B71" s="71"/>
      <c r="C71" s="73" t="s">
        <v>466</v>
      </c>
      <c r="D71" s="88"/>
      <c r="E71" s="88"/>
      <c r="F71" s="75"/>
      <c r="G71" s="75"/>
      <c r="H71" s="75"/>
      <c r="I71" s="75"/>
      <c r="J71" s="75"/>
      <c r="K71" s="75"/>
      <c r="L71" s="75"/>
      <c r="M71" s="75"/>
      <c r="N71" s="75"/>
      <c r="O71" s="75"/>
    </row>
    <row r="72" spans="1:15">
      <c r="A72" s="75"/>
      <c r="B72" s="71">
        <v>59</v>
      </c>
      <c r="C72" s="88" t="s">
        <v>467</v>
      </c>
      <c r="D72" s="88"/>
      <c r="E72" s="88" t="s">
        <v>468</v>
      </c>
      <c r="F72" s="75"/>
      <c r="G72" s="75" t="s">
        <v>334</v>
      </c>
      <c r="H72" s="75" t="s">
        <v>341</v>
      </c>
      <c r="I72" s="75" t="s">
        <v>104</v>
      </c>
      <c r="J72" s="75"/>
      <c r="K72" s="75" t="s">
        <v>1204</v>
      </c>
      <c r="L72" s="75" t="s">
        <v>336</v>
      </c>
      <c r="M72" s="75"/>
      <c r="N72" s="75"/>
      <c r="O72" s="75"/>
    </row>
    <row r="73" spans="1:15">
      <c r="A73" s="75"/>
      <c r="B73" s="71"/>
      <c r="C73" s="73" t="s">
        <v>469</v>
      </c>
      <c r="D73" s="88"/>
      <c r="E73" s="88"/>
      <c r="F73" s="75"/>
      <c r="G73" s="75"/>
      <c r="H73" s="75"/>
      <c r="I73" s="75"/>
      <c r="J73" s="75"/>
      <c r="K73" s="75"/>
      <c r="L73" s="75"/>
      <c r="M73" s="75"/>
      <c r="N73" s="75"/>
      <c r="O73" s="75"/>
    </row>
    <row r="74" spans="1:15">
      <c r="A74" s="75"/>
      <c r="B74" s="71">
        <v>60</v>
      </c>
      <c r="C74" s="88" t="s">
        <v>470</v>
      </c>
      <c r="D74" s="88"/>
      <c r="E74" s="88" t="s">
        <v>471</v>
      </c>
      <c r="F74" s="75"/>
      <c r="G74" s="75" t="s">
        <v>334</v>
      </c>
      <c r="H74" s="75" t="s">
        <v>341</v>
      </c>
      <c r="I74" s="75" t="s">
        <v>104</v>
      </c>
      <c r="J74" s="75"/>
      <c r="K74" s="75" t="s">
        <v>1204</v>
      </c>
      <c r="L74" s="75" t="s">
        <v>336</v>
      </c>
      <c r="M74" s="75"/>
      <c r="N74" s="75"/>
      <c r="O74" s="75"/>
    </row>
    <row r="75" spans="1:15">
      <c r="A75" s="75"/>
      <c r="B75" s="71"/>
      <c r="C75" s="73" t="s">
        <v>472</v>
      </c>
      <c r="D75" s="88"/>
      <c r="E75" s="88"/>
      <c r="F75" s="75"/>
      <c r="G75" s="75"/>
      <c r="H75" s="75"/>
      <c r="I75" s="75"/>
      <c r="J75" s="75"/>
      <c r="K75" s="75"/>
      <c r="L75" s="75"/>
      <c r="M75" s="75"/>
      <c r="N75" s="75"/>
      <c r="O75" s="75"/>
    </row>
    <row r="76" spans="1:15" ht="30">
      <c r="A76" s="75"/>
      <c r="B76" s="71">
        <v>61</v>
      </c>
      <c r="C76" s="76" t="s">
        <v>1179</v>
      </c>
      <c r="D76" s="76"/>
      <c r="E76" s="77" t="s">
        <v>1178</v>
      </c>
      <c r="F76" s="75"/>
      <c r="G76" s="75" t="s">
        <v>334</v>
      </c>
      <c r="H76" s="75" t="s">
        <v>341</v>
      </c>
      <c r="I76" s="75" t="s">
        <v>76</v>
      </c>
      <c r="J76" s="75"/>
      <c r="K76" s="75" t="s">
        <v>1204</v>
      </c>
      <c r="L76" s="75" t="s">
        <v>336</v>
      </c>
      <c r="M76" s="75"/>
      <c r="N76" s="75"/>
      <c r="O76" s="75"/>
    </row>
    <row r="77" spans="1:15" ht="45">
      <c r="A77" s="75"/>
      <c r="B77" s="71">
        <v>62</v>
      </c>
      <c r="C77" s="76" t="s">
        <v>473</v>
      </c>
      <c r="D77" s="76" t="s">
        <v>474</v>
      </c>
      <c r="E77" s="76" t="s">
        <v>475</v>
      </c>
      <c r="F77" s="75"/>
      <c r="G77" s="75" t="s">
        <v>334</v>
      </c>
      <c r="H77" s="75" t="s">
        <v>341</v>
      </c>
      <c r="I77" s="75" t="s">
        <v>76</v>
      </c>
      <c r="J77" s="75"/>
      <c r="K77" s="75" t="s">
        <v>1204</v>
      </c>
      <c r="L77" s="75" t="s">
        <v>336</v>
      </c>
      <c r="M77" s="75"/>
      <c r="N77" s="75"/>
      <c r="O77" s="75"/>
    </row>
    <row r="78" spans="1:15" ht="30">
      <c r="A78" s="75"/>
      <c r="B78" s="71">
        <v>63</v>
      </c>
      <c r="C78" s="76" t="s">
        <v>476</v>
      </c>
      <c r="D78" s="76"/>
      <c r="E78" s="76" t="s">
        <v>477</v>
      </c>
      <c r="F78" s="75"/>
      <c r="G78" s="75" t="s">
        <v>334</v>
      </c>
      <c r="H78" s="75" t="s">
        <v>341</v>
      </c>
      <c r="I78" s="75" t="s">
        <v>76</v>
      </c>
      <c r="J78" s="75"/>
      <c r="K78" s="75" t="s">
        <v>1204</v>
      </c>
      <c r="L78" s="75" t="s">
        <v>336</v>
      </c>
      <c r="M78" s="75"/>
      <c r="N78" s="75"/>
      <c r="O78" s="75"/>
    </row>
    <row r="79" spans="1:15" ht="30">
      <c r="A79" s="75"/>
      <c r="B79" s="71">
        <v>64</v>
      </c>
      <c r="C79" s="76" t="s">
        <v>478</v>
      </c>
      <c r="D79" s="76"/>
      <c r="E79" s="76" t="s">
        <v>479</v>
      </c>
      <c r="F79" s="75"/>
      <c r="G79" s="75" t="s">
        <v>334</v>
      </c>
      <c r="H79" s="75" t="s">
        <v>341</v>
      </c>
      <c r="I79" s="75" t="s">
        <v>104</v>
      </c>
      <c r="J79" s="75"/>
      <c r="K79" s="75" t="s">
        <v>1204</v>
      </c>
      <c r="L79" s="75" t="s">
        <v>336</v>
      </c>
      <c r="M79" s="75"/>
      <c r="N79" s="75"/>
      <c r="O79" s="75"/>
    </row>
    <row r="80" spans="1:15" ht="30">
      <c r="A80" s="75"/>
      <c r="B80" s="71">
        <v>65</v>
      </c>
      <c r="C80" s="76" t="s">
        <v>480</v>
      </c>
      <c r="D80" s="76"/>
      <c r="E80" s="76" t="s">
        <v>479</v>
      </c>
      <c r="F80" s="75"/>
      <c r="G80" s="75" t="s">
        <v>334</v>
      </c>
      <c r="H80" s="75" t="s">
        <v>341</v>
      </c>
      <c r="I80" s="75" t="s">
        <v>76</v>
      </c>
      <c r="J80" s="75"/>
      <c r="K80" s="75" t="s">
        <v>1204</v>
      </c>
      <c r="L80" s="75" t="s">
        <v>336</v>
      </c>
      <c r="M80" s="75"/>
      <c r="N80" s="75"/>
      <c r="O80" s="75"/>
    </row>
    <row r="81" spans="1:15" ht="30">
      <c r="A81" s="75"/>
      <c r="B81" s="71">
        <v>66</v>
      </c>
      <c r="C81" s="76" t="s">
        <v>481</v>
      </c>
      <c r="D81" s="76"/>
      <c r="E81" s="76" t="s">
        <v>482</v>
      </c>
      <c r="F81" s="75"/>
      <c r="G81" s="75" t="s">
        <v>334</v>
      </c>
      <c r="H81" s="75" t="s">
        <v>341</v>
      </c>
      <c r="I81" s="75" t="s">
        <v>104</v>
      </c>
      <c r="J81" s="75"/>
      <c r="K81" s="75" t="s">
        <v>1204</v>
      </c>
      <c r="L81" s="75" t="s">
        <v>336</v>
      </c>
      <c r="M81" s="75"/>
      <c r="N81" s="75"/>
      <c r="O81" s="75"/>
    </row>
    <row r="82" spans="1:15" ht="30">
      <c r="A82" s="75"/>
      <c r="B82" s="71">
        <v>67</v>
      </c>
      <c r="C82" s="76" t="s">
        <v>483</v>
      </c>
      <c r="D82" s="76"/>
      <c r="E82" s="76" t="s">
        <v>482</v>
      </c>
      <c r="F82" s="75"/>
      <c r="G82" s="75" t="s">
        <v>334</v>
      </c>
      <c r="H82" s="75" t="s">
        <v>341</v>
      </c>
      <c r="I82" s="75" t="s">
        <v>15</v>
      </c>
      <c r="J82" s="75"/>
      <c r="K82" s="75" t="s">
        <v>1204</v>
      </c>
      <c r="L82" s="75" t="s">
        <v>336</v>
      </c>
      <c r="M82" s="75"/>
      <c r="N82" s="75"/>
      <c r="O82" s="75"/>
    </row>
    <row r="83" spans="1:15" ht="45">
      <c r="A83" s="75"/>
      <c r="B83" s="71">
        <v>68</v>
      </c>
      <c r="C83" s="76" t="s">
        <v>484</v>
      </c>
      <c r="D83" s="76"/>
      <c r="E83" s="76" t="s">
        <v>1180</v>
      </c>
      <c r="F83" s="75"/>
      <c r="G83" s="75" t="s">
        <v>334</v>
      </c>
      <c r="H83" s="75" t="s">
        <v>341</v>
      </c>
      <c r="I83" s="75" t="s">
        <v>104</v>
      </c>
      <c r="J83" s="75"/>
      <c r="K83" s="75" t="s">
        <v>1204</v>
      </c>
      <c r="L83" s="75" t="s">
        <v>336</v>
      </c>
      <c r="M83" s="75"/>
      <c r="N83" s="75"/>
      <c r="O83" s="75"/>
    </row>
    <row r="84" spans="1:15">
      <c r="A84" s="75"/>
      <c r="B84" s="71">
        <v>69</v>
      </c>
      <c r="C84" s="76" t="s">
        <v>485</v>
      </c>
      <c r="D84" s="76" t="s">
        <v>486</v>
      </c>
      <c r="E84" s="76" t="s">
        <v>487</v>
      </c>
      <c r="F84" s="75"/>
      <c r="G84" s="75" t="s">
        <v>334</v>
      </c>
      <c r="H84" s="75" t="s">
        <v>341</v>
      </c>
      <c r="I84" s="75" t="s">
        <v>76</v>
      </c>
      <c r="J84" s="75"/>
      <c r="K84" s="75" t="s">
        <v>1204</v>
      </c>
      <c r="L84" s="75" t="s">
        <v>336</v>
      </c>
      <c r="M84" s="75"/>
      <c r="N84" s="75"/>
      <c r="O84" s="75"/>
    </row>
    <row r="85" spans="1:15" ht="30">
      <c r="A85" s="75"/>
      <c r="B85" s="71">
        <v>70</v>
      </c>
      <c r="C85" s="76" t="s">
        <v>488</v>
      </c>
      <c r="D85" s="76"/>
      <c r="E85" s="76" t="s">
        <v>489</v>
      </c>
      <c r="F85" s="75"/>
      <c r="G85" s="75" t="s">
        <v>334</v>
      </c>
      <c r="H85" s="75" t="s">
        <v>341</v>
      </c>
      <c r="I85" s="75" t="s">
        <v>76</v>
      </c>
      <c r="J85" s="75"/>
      <c r="K85" s="75" t="s">
        <v>1204</v>
      </c>
      <c r="L85" s="75" t="s">
        <v>336</v>
      </c>
      <c r="M85" s="75"/>
      <c r="N85" s="75"/>
      <c r="O85" s="75"/>
    </row>
    <row r="86" spans="1:15" ht="30">
      <c r="A86" s="75"/>
      <c r="B86" s="71">
        <v>71</v>
      </c>
      <c r="C86" s="76" t="s">
        <v>490</v>
      </c>
      <c r="D86" s="76"/>
      <c r="E86" s="76" t="s">
        <v>491</v>
      </c>
      <c r="F86" s="75"/>
      <c r="G86" s="75" t="s">
        <v>334</v>
      </c>
      <c r="H86" s="75" t="s">
        <v>341</v>
      </c>
      <c r="I86" s="75" t="s">
        <v>76</v>
      </c>
      <c r="J86" s="75"/>
      <c r="K86" s="75" t="s">
        <v>1204</v>
      </c>
      <c r="L86" s="75" t="s">
        <v>336</v>
      </c>
      <c r="M86" s="75"/>
      <c r="N86" s="75"/>
      <c r="O86" s="75"/>
    </row>
    <row r="87" spans="1:15">
      <c r="A87" s="75"/>
      <c r="B87" s="71">
        <v>72</v>
      </c>
      <c r="C87" s="76" t="s">
        <v>492</v>
      </c>
      <c r="D87" s="76"/>
      <c r="E87" s="76" t="s">
        <v>493</v>
      </c>
      <c r="F87" s="75"/>
      <c r="G87" s="75" t="s">
        <v>334</v>
      </c>
      <c r="H87" s="75" t="s">
        <v>341</v>
      </c>
      <c r="I87" s="75" t="s">
        <v>76</v>
      </c>
      <c r="J87" s="75"/>
      <c r="K87" s="75" t="s">
        <v>1204</v>
      </c>
      <c r="L87" s="75" t="s">
        <v>336</v>
      </c>
      <c r="M87" s="75"/>
      <c r="N87" s="75"/>
      <c r="O87" s="75"/>
    </row>
    <row r="88" spans="1:15" ht="30">
      <c r="A88" s="75"/>
      <c r="B88" s="71">
        <v>73</v>
      </c>
      <c r="C88" s="76" t="s">
        <v>494</v>
      </c>
      <c r="D88" s="76"/>
      <c r="E88" s="76" t="s">
        <v>1181</v>
      </c>
      <c r="F88" s="75"/>
      <c r="G88" s="75" t="s">
        <v>334</v>
      </c>
      <c r="H88" s="75" t="s">
        <v>341</v>
      </c>
      <c r="I88" s="75" t="s">
        <v>76</v>
      </c>
      <c r="J88" s="75"/>
      <c r="K88" s="75" t="s">
        <v>1204</v>
      </c>
      <c r="L88" s="75" t="s">
        <v>336</v>
      </c>
      <c r="M88" s="75"/>
      <c r="N88" s="75"/>
      <c r="O88" s="75"/>
    </row>
    <row r="89" spans="1:15" ht="30">
      <c r="A89" s="75"/>
      <c r="B89" s="71">
        <v>74</v>
      </c>
      <c r="C89" s="76" t="s">
        <v>495</v>
      </c>
      <c r="D89" s="76"/>
      <c r="E89" s="76" t="s">
        <v>496</v>
      </c>
      <c r="F89" s="75"/>
      <c r="G89" s="75" t="s">
        <v>334</v>
      </c>
      <c r="H89" s="75" t="s">
        <v>341</v>
      </c>
      <c r="I89" s="75" t="s">
        <v>76</v>
      </c>
      <c r="J89" s="75"/>
      <c r="K89" s="75" t="s">
        <v>1204</v>
      </c>
      <c r="L89" s="75" t="s">
        <v>336</v>
      </c>
      <c r="M89" s="75"/>
      <c r="N89" s="75"/>
      <c r="O89" s="75"/>
    </row>
    <row r="90" spans="1:15" ht="45">
      <c r="A90" s="75"/>
      <c r="B90" s="71">
        <v>75</v>
      </c>
      <c r="C90" s="76" t="s">
        <v>497</v>
      </c>
      <c r="D90" s="76"/>
      <c r="E90" s="76" t="s">
        <v>498</v>
      </c>
      <c r="F90" s="75"/>
      <c r="G90" s="75" t="s">
        <v>334</v>
      </c>
      <c r="H90" s="75" t="s">
        <v>341</v>
      </c>
      <c r="I90" s="75" t="s">
        <v>76</v>
      </c>
      <c r="J90" s="75"/>
      <c r="K90" s="75" t="s">
        <v>1204</v>
      </c>
      <c r="L90" s="75" t="s">
        <v>336</v>
      </c>
      <c r="M90" s="75"/>
      <c r="N90" s="75"/>
      <c r="O90" s="75"/>
    </row>
    <row r="91" spans="1:15" ht="30">
      <c r="A91" s="75"/>
      <c r="B91" s="71">
        <v>76</v>
      </c>
      <c r="C91" s="76" t="s">
        <v>499</v>
      </c>
      <c r="D91" s="76"/>
      <c r="E91" s="76" t="s">
        <v>500</v>
      </c>
      <c r="F91" s="75"/>
      <c r="G91" s="75" t="s">
        <v>334</v>
      </c>
      <c r="H91" s="75" t="s">
        <v>341</v>
      </c>
      <c r="I91" s="75" t="s">
        <v>76</v>
      </c>
      <c r="J91" s="75"/>
      <c r="K91" s="75" t="s">
        <v>1204</v>
      </c>
      <c r="L91" s="75" t="s">
        <v>336</v>
      </c>
      <c r="M91" s="75"/>
      <c r="N91" s="75"/>
      <c r="O91" s="75"/>
    </row>
    <row r="92" spans="1:15">
      <c r="A92" s="75"/>
      <c r="B92" s="71"/>
      <c r="C92" s="73" t="s">
        <v>501</v>
      </c>
      <c r="D92" s="76"/>
      <c r="E92" s="76"/>
      <c r="F92" s="75"/>
      <c r="G92" s="75"/>
      <c r="H92" s="75"/>
      <c r="I92" s="75"/>
      <c r="J92" s="75"/>
      <c r="K92" s="75"/>
      <c r="L92" s="75"/>
      <c r="M92" s="75"/>
      <c r="N92" s="75"/>
      <c r="O92" s="75"/>
    </row>
    <row r="93" spans="1:15" ht="60">
      <c r="A93" s="75"/>
      <c r="B93" s="71">
        <v>77</v>
      </c>
      <c r="C93" s="76" t="s">
        <v>502</v>
      </c>
      <c r="D93" s="76"/>
      <c r="E93" s="77" t="s">
        <v>503</v>
      </c>
      <c r="F93" s="75"/>
      <c r="G93" s="75" t="s">
        <v>437</v>
      </c>
      <c r="H93" s="75" t="s">
        <v>341</v>
      </c>
      <c r="I93" s="75" t="s">
        <v>76</v>
      </c>
      <c r="J93" s="75"/>
      <c r="K93" s="75" t="s">
        <v>1204</v>
      </c>
      <c r="L93" s="75" t="s">
        <v>336</v>
      </c>
      <c r="M93" s="75"/>
      <c r="N93" s="75"/>
      <c r="O93" s="75"/>
    </row>
    <row r="94" spans="1:15" ht="30">
      <c r="A94" s="75"/>
      <c r="B94" s="71">
        <v>78</v>
      </c>
      <c r="C94" s="76" t="s">
        <v>504</v>
      </c>
      <c r="D94" s="76"/>
      <c r="E94" s="76" t="s">
        <v>505</v>
      </c>
      <c r="F94" s="75"/>
      <c r="G94" s="75" t="s">
        <v>437</v>
      </c>
      <c r="H94" s="75" t="s">
        <v>341</v>
      </c>
      <c r="I94" s="75" t="s">
        <v>76</v>
      </c>
      <c r="J94" s="75"/>
      <c r="K94" s="75" t="s">
        <v>1204</v>
      </c>
      <c r="L94" s="75" t="s">
        <v>336</v>
      </c>
      <c r="M94" s="75"/>
      <c r="N94" s="75"/>
      <c r="O94" s="75"/>
    </row>
    <row r="95" spans="1:15" ht="30">
      <c r="A95" s="75"/>
      <c r="B95" s="71">
        <v>79</v>
      </c>
      <c r="C95" s="76" t="s">
        <v>506</v>
      </c>
      <c r="D95" s="76"/>
      <c r="E95" s="76" t="s">
        <v>507</v>
      </c>
      <c r="F95" s="75"/>
      <c r="G95" s="75" t="s">
        <v>437</v>
      </c>
      <c r="H95" s="75" t="s">
        <v>341</v>
      </c>
      <c r="I95" s="75" t="s">
        <v>76</v>
      </c>
      <c r="J95" s="75"/>
      <c r="K95" s="75" t="s">
        <v>1204</v>
      </c>
      <c r="L95" s="75" t="s">
        <v>336</v>
      </c>
      <c r="M95" s="75"/>
      <c r="N95" s="75"/>
      <c r="O95" s="75"/>
    </row>
    <row r="96" spans="1:15" ht="30">
      <c r="A96" s="77"/>
      <c r="B96" s="71">
        <v>80</v>
      </c>
      <c r="C96" s="76" t="s">
        <v>508</v>
      </c>
      <c r="D96" s="76"/>
      <c r="E96" s="76" t="s">
        <v>509</v>
      </c>
      <c r="F96" s="75"/>
      <c r="G96" s="75" t="s">
        <v>437</v>
      </c>
      <c r="H96" s="75" t="s">
        <v>341</v>
      </c>
      <c r="I96" s="75" t="s">
        <v>76</v>
      </c>
      <c r="J96" s="75"/>
      <c r="K96" s="75" t="s">
        <v>1204</v>
      </c>
      <c r="L96" s="75" t="s">
        <v>336</v>
      </c>
      <c r="M96" s="77"/>
      <c r="N96" s="77"/>
      <c r="O96" s="77"/>
    </row>
    <row r="97" spans="1:15" ht="30">
      <c r="A97" s="77"/>
      <c r="B97" s="71">
        <v>81</v>
      </c>
      <c r="C97" s="76" t="s">
        <v>510</v>
      </c>
      <c r="D97" s="76"/>
      <c r="E97" s="76" t="s">
        <v>511</v>
      </c>
      <c r="F97" s="75"/>
      <c r="G97" s="75" t="s">
        <v>437</v>
      </c>
      <c r="H97" s="75" t="s">
        <v>341</v>
      </c>
      <c r="I97" s="75" t="s">
        <v>76</v>
      </c>
      <c r="J97" s="75"/>
      <c r="K97" s="75" t="s">
        <v>1204</v>
      </c>
      <c r="L97" s="75" t="s">
        <v>336</v>
      </c>
      <c r="M97" s="77"/>
      <c r="N97" s="77"/>
      <c r="O97" s="77"/>
    </row>
    <row r="98" spans="1:15">
      <c r="A98" s="77"/>
      <c r="B98" s="71"/>
      <c r="C98" s="73" t="s">
        <v>512</v>
      </c>
      <c r="D98" s="76"/>
      <c r="E98" s="76"/>
      <c r="F98" s="77"/>
      <c r="G98" s="75"/>
      <c r="H98" s="77"/>
      <c r="I98" s="77"/>
      <c r="J98" s="77"/>
      <c r="K98" s="77"/>
      <c r="L98" s="77"/>
      <c r="M98" s="77"/>
      <c r="N98" s="77"/>
      <c r="O98" s="77"/>
    </row>
    <row r="99" spans="1:15" ht="30">
      <c r="A99" s="77"/>
      <c r="B99" s="71">
        <v>82</v>
      </c>
      <c r="C99" s="88" t="s">
        <v>513</v>
      </c>
      <c r="D99" s="88"/>
      <c r="E99" s="88" t="s">
        <v>514</v>
      </c>
      <c r="F99" s="75"/>
      <c r="G99" s="75" t="s">
        <v>334</v>
      </c>
      <c r="H99" s="75" t="s">
        <v>341</v>
      </c>
      <c r="I99" s="75" t="s">
        <v>76</v>
      </c>
      <c r="J99" s="75"/>
      <c r="K99" s="77" t="s">
        <v>1203</v>
      </c>
      <c r="L99" s="77" t="s">
        <v>336</v>
      </c>
      <c r="M99" s="77"/>
      <c r="N99" s="77"/>
      <c r="O99" s="77"/>
    </row>
    <row r="100" spans="1:15">
      <c r="A100" s="77"/>
      <c r="B100" s="71"/>
      <c r="C100" s="73" t="s">
        <v>515</v>
      </c>
      <c r="D100" s="60"/>
      <c r="E100" s="60"/>
      <c r="F100" s="75"/>
      <c r="G100" s="75"/>
      <c r="H100" s="75"/>
      <c r="I100" s="75"/>
      <c r="J100" s="75"/>
      <c r="K100" s="77"/>
      <c r="L100" s="77"/>
      <c r="M100" s="77"/>
      <c r="N100" s="77"/>
      <c r="O100" s="77"/>
    </row>
    <row r="101" spans="1:15" ht="30">
      <c r="A101" s="77"/>
      <c r="B101" s="71">
        <v>83</v>
      </c>
      <c r="C101" s="60" t="s">
        <v>516</v>
      </c>
      <c r="D101" s="60"/>
      <c r="E101" s="60" t="s">
        <v>517</v>
      </c>
      <c r="F101" s="75"/>
      <c r="G101" s="75" t="s">
        <v>334</v>
      </c>
      <c r="H101" s="75" t="s">
        <v>341</v>
      </c>
      <c r="I101" s="75" t="s">
        <v>76</v>
      </c>
      <c r="J101" s="75"/>
      <c r="K101" s="75" t="s">
        <v>1204</v>
      </c>
      <c r="L101" s="75" t="s">
        <v>336</v>
      </c>
      <c r="M101" s="77"/>
      <c r="N101" s="77"/>
      <c r="O101" s="77"/>
    </row>
    <row r="102" spans="1:15" ht="30">
      <c r="A102" s="77"/>
      <c r="B102" s="71">
        <v>84</v>
      </c>
      <c r="C102" s="60" t="s">
        <v>518</v>
      </c>
      <c r="D102" s="60"/>
      <c r="E102" s="60" t="s">
        <v>519</v>
      </c>
      <c r="F102" s="75"/>
      <c r="G102" s="75" t="s">
        <v>334</v>
      </c>
      <c r="H102" s="75" t="s">
        <v>341</v>
      </c>
      <c r="I102" s="75" t="s">
        <v>76</v>
      </c>
      <c r="J102" s="75"/>
      <c r="K102" s="75" t="s">
        <v>1204</v>
      </c>
      <c r="L102" s="75" t="s">
        <v>336</v>
      </c>
      <c r="M102" s="77"/>
      <c r="N102" s="77"/>
      <c r="O102" s="77"/>
    </row>
    <row r="103" spans="1:15" ht="30">
      <c r="A103" s="77"/>
      <c r="B103" s="71">
        <v>85</v>
      </c>
      <c r="C103" s="60" t="s">
        <v>520</v>
      </c>
      <c r="D103" s="60"/>
      <c r="E103" s="60" t="s">
        <v>521</v>
      </c>
      <c r="F103" s="75"/>
      <c r="G103" s="75" t="s">
        <v>334</v>
      </c>
      <c r="H103" s="75" t="s">
        <v>341</v>
      </c>
      <c r="I103" s="75" t="s">
        <v>76</v>
      </c>
      <c r="J103" s="75"/>
      <c r="K103" s="77" t="s">
        <v>1203</v>
      </c>
      <c r="L103" s="77" t="s">
        <v>336</v>
      </c>
      <c r="M103" s="77"/>
      <c r="N103" s="77"/>
      <c r="O103" s="77"/>
    </row>
    <row r="104" spans="1:15" ht="30">
      <c r="A104" s="77"/>
      <c r="B104" s="71">
        <v>86</v>
      </c>
      <c r="C104" s="60" t="s">
        <v>522</v>
      </c>
      <c r="D104" s="60"/>
      <c r="E104" s="60" t="s">
        <v>523</v>
      </c>
      <c r="F104" s="75"/>
      <c r="G104" s="75" t="s">
        <v>334</v>
      </c>
      <c r="H104" s="75" t="s">
        <v>341</v>
      </c>
      <c r="I104" s="75" t="s">
        <v>76</v>
      </c>
      <c r="J104" s="75"/>
      <c r="K104" s="75" t="s">
        <v>1204</v>
      </c>
      <c r="L104" s="75" t="s">
        <v>336</v>
      </c>
      <c r="M104" s="77"/>
      <c r="N104" s="77"/>
      <c r="O104" s="77"/>
    </row>
    <row r="105" spans="1:15" ht="30">
      <c r="A105" s="77"/>
      <c r="B105" s="71">
        <v>87</v>
      </c>
      <c r="C105" s="60" t="s">
        <v>524</v>
      </c>
      <c r="D105" s="60"/>
      <c r="E105" s="60" t="s">
        <v>525</v>
      </c>
      <c r="F105" s="75"/>
      <c r="G105" s="75" t="s">
        <v>334</v>
      </c>
      <c r="H105" s="75" t="s">
        <v>341</v>
      </c>
      <c r="I105" s="75" t="s">
        <v>76</v>
      </c>
      <c r="J105" s="75"/>
      <c r="K105" s="77" t="s">
        <v>1203</v>
      </c>
      <c r="L105" s="77" t="s">
        <v>336</v>
      </c>
      <c r="M105" s="77"/>
      <c r="N105" s="77"/>
      <c r="O105" s="77"/>
    </row>
    <row r="106" spans="1:15">
      <c r="A106" s="77"/>
      <c r="B106" s="71"/>
      <c r="C106" s="73" t="s">
        <v>526</v>
      </c>
      <c r="D106" s="60"/>
      <c r="E106" s="60"/>
      <c r="F106" s="75"/>
      <c r="G106" s="75"/>
      <c r="H106" s="75"/>
      <c r="I106" s="75"/>
      <c r="J106" s="75"/>
      <c r="K106" s="77"/>
      <c r="L106" s="77"/>
      <c r="M106" s="77"/>
      <c r="N106" s="77"/>
      <c r="O106" s="77"/>
    </row>
    <row r="107" spans="1:15" ht="30">
      <c r="A107" s="77"/>
      <c r="B107" s="60">
        <v>88</v>
      </c>
      <c r="C107" s="60" t="s">
        <v>527</v>
      </c>
      <c r="D107" s="60" t="s">
        <v>528</v>
      </c>
      <c r="E107" s="60" t="s">
        <v>529</v>
      </c>
      <c r="F107" s="75"/>
      <c r="G107" s="75" t="s">
        <v>437</v>
      </c>
      <c r="H107" s="75" t="s">
        <v>341</v>
      </c>
      <c r="I107" s="75" t="s">
        <v>76</v>
      </c>
      <c r="J107" s="75"/>
      <c r="K107" s="75" t="s">
        <v>1204</v>
      </c>
      <c r="L107" s="75" t="s">
        <v>336</v>
      </c>
      <c r="M107" s="77"/>
      <c r="N107" s="77"/>
      <c r="O107" s="77"/>
    </row>
    <row r="108" spans="1:15" ht="30">
      <c r="A108" s="77"/>
      <c r="B108" s="60">
        <v>89</v>
      </c>
      <c r="C108" s="60" t="s">
        <v>530</v>
      </c>
      <c r="D108" s="60"/>
      <c r="E108" s="60" t="s">
        <v>531</v>
      </c>
      <c r="F108" s="75"/>
      <c r="G108" s="75" t="s">
        <v>334</v>
      </c>
      <c r="H108" s="75" t="s">
        <v>341</v>
      </c>
      <c r="I108" s="75" t="s">
        <v>76</v>
      </c>
      <c r="J108" s="75"/>
      <c r="K108" s="75" t="s">
        <v>1204</v>
      </c>
      <c r="L108" s="75" t="s">
        <v>336</v>
      </c>
      <c r="M108" s="77"/>
      <c r="N108" s="77"/>
      <c r="O108" s="77"/>
    </row>
    <row r="109" spans="1:15">
      <c r="A109" s="77"/>
      <c r="B109" s="71"/>
      <c r="C109" s="73" t="s">
        <v>532</v>
      </c>
      <c r="D109" s="60"/>
      <c r="E109" s="60"/>
      <c r="F109" s="75"/>
      <c r="G109" s="75"/>
      <c r="H109" s="75"/>
      <c r="I109" s="75"/>
      <c r="J109" s="75"/>
      <c r="K109" s="77"/>
      <c r="L109" s="77"/>
      <c r="M109" s="77"/>
      <c r="N109" s="77"/>
      <c r="O109" s="77"/>
    </row>
    <row r="110" spans="1:15" ht="30">
      <c r="A110" s="77"/>
      <c r="B110" s="71">
        <v>90</v>
      </c>
      <c r="C110" s="60" t="s">
        <v>533</v>
      </c>
      <c r="D110" s="60"/>
      <c r="E110" s="60" t="s">
        <v>534</v>
      </c>
      <c r="F110" s="75"/>
      <c r="G110" s="75" t="s">
        <v>334</v>
      </c>
      <c r="H110" s="75" t="s">
        <v>341</v>
      </c>
      <c r="I110" s="75" t="s">
        <v>104</v>
      </c>
      <c r="J110" s="75"/>
      <c r="K110" s="75" t="s">
        <v>1204</v>
      </c>
      <c r="L110" s="75" t="s">
        <v>336</v>
      </c>
      <c r="M110" s="77"/>
      <c r="N110" s="77"/>
      <c r="O110" s="77"/>
    </row>
    <row r="111" spans="1:15" ht="30">
      <c r="A111" s="77"/>
      <c r="B111" s="71">
        <v>91</v>
      </c>
      <c r="C111" s="60" t="s">
        <v>535</v>
      </c>
      <c r="D111" s="60"/>
      <c r="E111" s="60" t="s">
        <v>536</v>
      </c>
      <c r="F111" s="75"/>
      <c r="G111" s="75" t="s">
        <v>334</v>
      </c>
      <c r="H111" s="75" t="s">
        <v>341</v>
      </c>
      <c r="I111" s="75" t="s">
        <v>104</v>
      </c>
      <c r="J111" s="75"/>
      <c r="K111" s="75" t="s">
        <v>1204</v>
      </c>
      <c r="L111" s="75" t="s">
        <v>336</v>
      </c>
      <c r="M111" s="77"/>
      <c r="N111" s="77"/>
      <c r="O111" s="77"/>
    </row>
    <row r="112" spans="1:15" ht="30">
      <c r="A112" s="77"/>
      <c r="B112" s="71">
        <v>92</v>
      </c>
      <c r="C112" s="60" t="s">
        <v>537</v>
      </c>
      <c r="D112" s="60"/>
      <c r="E112" s="60" t="s">
        <v>538</v>
      </c>
      <c r="F112" s="75"/>
      <c r="G112" s="75" t="s">
        <v>334</v>
      </c>
      <c r="H112" s="75" t="s">
        <v>341</v>
      </c>
      <c r="I112" s="75" t="s">
        <v>76</v>
      </c>
      <c r="J112" s="75"/>
      <c r="K112" s="75" t="s">
        <v>1204</v>
      </c>
      <c r="L112" s="75" t="s">
        <v>336</v>
      </c>
      <c r="M112" s="77"/>
      <c r="N112" s="77"/>
      <c r="O112" s="77"/>
    </row>
    <row r="113" spans="1:15">
      <c r="A113" s="77"/>
      <c r="B113" s="71">
        <v>93</v>
      </c>
      <c r="C113" s="88" t="s">
        <v>539</v>
      </c>
      <c r="D113" s="88"/>
      <c r="E113" s="88" t="s">
        <v>540</v>
      </c>
      <c r="F113" s="75"/>
      <c r="G113" s="75" t="s">
        <v>334</v>
      </c>
      <c r="H113" s="75" t="s">
        <v>341</v>
      </c>
      <c r="I113" s="75" t="s">
        <v>76</v>
      </c>
      <c r="J113" s="75"/>
      <c r="K113" s="75" t="s">
        <v>1204</v>
      </c>
      <c r="L113" s="75" t="s">
        <v>336</v>
      </c>
      <c r="M113" s="77"/>
      <c r="N113" s="77"/>
      <c r="O113" s="77"/>
    </row>
    <row r="114" spans="1:15" ht="60">
      <c r="A114" s="77"/>
      <c r="B114" s="71">
        <v>94</v>
      </c>
      <c r="C114" s="88" t="s">
        <v>541</v>
      </c>
      <c r="D114" s="88"/>
      <c r="E114" s="88" t="s">
        <v>542</v>
      </c>
      <c r="F114" s="75"/>
      <c r="G114" s="75" t="s">
        <v>334</v>
      </c>
      <c r="H114" s="75" t="s">
        <v>341</v>
      </c>
      <c r="I114" s="75" t="s">
        <v>104</v>
      </c>
      <c r="J114" s="75"/>
      <c r="K114" s="75" t="s">
        <v>1204</v>
      </c>
      <c r="L114" s="75" t="s">
        <v>336</v>
      </c>
      <c r="M114" s="77"/>
      <c r="N114" s="77"/>
      <c r="O114" s="77"/>
    </row>
    <row r="115" spans="1:15">
      <c r="A115" s="77"/>
      <c r="B115" s="71">
        <v>95</v>
      </c>
      <c r="C115" s="88" t="s">
        <v>492</v>
      </c>
      <c r="D115" s="88"/>
      <c r="E115" s="88" t="s">
        <v>543</v>
      </c>
      <c r="F115" s="75"/>
      <c r="G115" s="75" t="s">
        <v>334</v>
      </c>
      <c r="H115" s="75" t="s">
        <v>341</v>
      </c>
      <c r="I115" s="75" t="s">
        <v>76</v>
      </c>
      <c r="J115" s="75"/>
      <c r="K115" s="75" t="s">
        <v>1204</v>
      </c>
      <c r="L115" s="75" t="s">
        <v>336</v>
      </c>
      <c r="M115" s="77"/>
      <c r="N115" s="77"/>
      <c r="O115" s="77"/>
    </row>
    <row r="116" spans="1:15" ht="16.5" customHeight="1">
      <c r="A116" s="75" t="s">
        <v>544</v>
      </c>
      <c r="B116" s="71"/>
      <c r="C116" s="73" t="s">
        <v>545</v>
      </c>
      <c r="D116" s="76"/>
      <c r="E116" s="76"/>
      <c r="F116" s="77"/>
      <c r="G116" s="75"/>
      <c r="H116" s="77"/>
      <c r="I116" s="77"/>
      <c r="J116" s="77"/>
      <c r="K116" s="77"/>
      <c r="L116" s="77"/>
      <c r="M116" s="77"/>
      <c r="N116" s="77"/>
      <c r="O116" s="77"/>
    </row>
    <row r="117" spans="1:15" ht="30">
      <c r="A117" s="77"/>
      <c r="B117" s="71">
        <v>96</v>
      </c>
      <c r="C117" s="76" t="s">
        <v>546</v>
      </c>
      <c r="D117" s="76"/>
      <c r="E117" s="76" t="s">
        <v>1182</v>
      </c>
      <c r="F117" s="75"/>
      <c r="G117" s="75" t="s">
        <v>334</v>
      </c>
      <c r="H117" s="75" t="s">
        <v>341</v>
      </c>
      <c r="I117" s="75" t="s">
        <v>76</v>
      </c>
      <c r="J117" s="75"/>
      <c r="K117" s="77" t="s">
        <v>1203</v>
      </c>
      <c r="L117" s="77" t="s">
        <v>336</v>
      </c>
      <c r="M117" s="77"/>
      <c r="N117" s="77"/>
      <c r="O117" s="77"/>
    </row>
    <row r="118" spans="1:15" ht="75">
      <c r="A118" s="77"/>
      <c r="B118" s="71">
        <v>97</v>
      </c>
      <c r="C118" s="76" t="s">
        <v>547</v>
      </c>
      <c r="D118" s="76"/>
      <c r="E118" s="76" t="s">
        <v>548</v>
      </c>
      <c r="F118" s="75"/>
      <c r="G118" s="75" t="s">
        <v>334</v>
      </c>
      <c r="H118" s="75" t="s">
        <v>341</v>
      </c>
      <c r="I118" s="75" t="s">
        <v>76</v>
      </c>
      <c r="J118" s="75"/>
      <c r="K118" s="75" t="s">
        <v>1204</v>
      </c>
      <c r="L118" s="75" t="s">
        <v>336</v>
      </c>
      <c r="M118" s="77"/>
      <c r="N118" s="77"/>
      <c r="O118" s="77"/>
    </row>
    <row r="119" spans="1:15" ht="30">
      <c r="A119" s="77"/>
      <c r="B119" s="71">
        <v>98</v>
      </c>
      <c r="C119" s="76" t="s">
        <v>549</v>
      </c>
      <c r="D119" s="76" t="s">
        <v>550</v>
      </c>
      <c r="E119" s="76" t="s">
        <v>551</v>
      </c>
      <c r="F119" s="75"/>
      <c r="G119" s="75" t="s">
        <v>334</v>
      </c>
      <c r="H119" s="75" t="s">
        <v>341</v>
      </c>
      <c r="I119" s="75" t="s">
        <v>76</v>
      </c>
      <c r="J119" s="75"/>
      <c r="K119" s="75" t="s">
        <v>1204</v>
      </c>
      <c r="L119" s="75" t="s">
        <v>336</v>
      </c>
      <c r="M119" s="77"/>
      <c r="N119" s="77"/>
      <c r="O119" s="77"/>
    </row>
    <row r="120" spans="1:15" ht="30">
      <c r="A120" s="77"/>
      <c r="B120" s="71">
        <v>99</v>
      </c>
      <c r="C120" s="76" t="s">
        <v>552</v>
      </c>
      <c r="D120" s="76"/>
      <c r="E120" s="76" t="s">
        <v>553</v>
      </c>
      <c r="F120" s="75"/>
      <c r="G120" s="75" t="s">
        <v>437</v>
      </c>
      <c r="H120" s="75" t="s">
        <v>341</v>
      </c>
      <c r="I120" s="75" t="s">
        <v>76</v>
      </c>
      <c r="J120" s="75"/>
      <c r="K120" s="75" t="s">
        <v>1204</v>
      </c>
      <c r="L120" s="75" t="s">
        <v>336</v>
      </c>
      <c r="M120" s="77"/>
      <c r="N120" s="77"/>
      <c r="O120" s="77"/>
    </row>
    <row r="121" spans="1:15" ht="45">
      <c r="A121" s="77"/>
      <c r="B121" s="71">
        <v>100</v>
      </c>
      <c r="C121" s="76" t="s">
        <v>554</v>
      </c>
      <c r="D121" s="76"/>
      <c r="E121" s="76" t="s">
        <v>555</v>
      </c>
      <c r="F121" s="75"/>
      <c r="G121" s="75" t="s">
        <v>556</v>
      </c>
      <c r="H121" s="75" t="s">
        <v>341</v>
      </c>
      <c r="I121" s="75" t="s">
        <v>76</v>
      </c>
      <c r="J121" s="75"/>
      <c r="K121" s="75" t="s">
        <v>1203</v>
      </c>
      <c r="L121" s="75" t="s">
        <v>336</v>
      </c>
      <c r="M121" s="77"/>
      <c r="N121" s="77"/>
      <c r="O121" s="77"/>
    </row>
    <row r="122" spans="1:15" ht="120">
      <c r="A122" s="77"/>
      <c r="B122" s="71">
        <v>101</v>
      </c>
      <c r="C122" s="76" t="s">
        <v>1056</v>
      </c>
      <c r="D122" s="76" t="s">
        <v>1059</v>
      </c>
      <c r="E122" s="76" t="s">
        <v>1058</v>
      </c>
      <c r="F122" s="75"/>
      <c r="G122" s="75" t="s">
        <v>334</v>
      </c>
      <c r="H122" s="75" t="s">
        <v>335</v>
      </c>
      <c r="I122" s="75" t="s">
        <v>76</v>
      </c>
      <c r="J122" s="75" t="s">
        <v>1187</v>
      </c>
      <c r="K122" s="75" t="s">
        <v>1203</v>
      </c>
      <c r="L122" s="75" t="s">
        <v>336</v>
      </c>
      <c r="M122" s="77"/>
      <c r="N122" s="77"/>
      <c r="O122" s="77"/>
    </row>
    <row r="123" spans="1:15">
      <c r="A123" s="77"/>
      <c r="B123" s="71"/>
      <c r="C123" s="73" t="s">
        <v>557</v>
      </c>
      <c r="D123" s="76"/>
      <c r="E123" s="76"/>
      <c r="F123" s="75"/>
      <c r="G123" s="75"/>
      <c r="H123" s="75"/>
      <c r="I123" s="75"/>
      <c r="J123" s="75"/>
      <c r="K123" s="77"/>
      <c r="L123" s="77"/>
      <c r="M123" s="77"/>
      <c r="N123" s="77"/>
      <c r="O123" s="77"/>
    </row>
    <row r="124" spans="1:15" ht="30">
      <c r="A124" s="77"/>
      <c r="B124" s="71">
        <v>102</v>
      </c>
      <c r="C124" s="76" t="s">
        <v>558</v>
      </c>
      <c r="D124" s="76" t="s">
        <v>559</v>
      </c>
      <c r="E124" s="76" t="s">
        <v>560</v>
      </c>
      <c r="F124" s="75"/>
      <c r="G124" s="75" t="s">
        <v>334</v>
      </c>
      <c r="H124" s="75" t="s">
        <v>341</v>
      </c>
      <c r="I124" s="75" t="s">
        <v>76</v>
      </c>
      <c r="J124" s="75"/>
      <c r="K124" s="75" t="s">
        <v>1204</v>
      </c>
      <c r="L124" s="75" t="s">
        <v>336</v>
      </c>
      <c r="M124" s="77"/>
      <c r="N124" s="77"/>
      <c r="O124" s="77"/>
    </row>
    <row r="125" spans="1:15" ht="30">
      <c r="A125" s="77"/>
      <c r="B125" s="71">
        <v>103</v>
      </c>
      <c r="C125" s="76" t="s">
        <v>561</v>
      </c>
      <c r="D125" s="76"/>
      <c r="E125" s="76" t="s">
        <v>562</v>
      </c>
      <c r="F125" s="75"/>
      <c r="G125" s="75" t="s">
        <v>334</v>
      </c>
      <c r="H125" s="75" t="s">
        <v>341</v>
      </c>
      <c r="I125" s="75" t="s">
        <v>76</v>
      </c>
      <c r="J125" s="75"/>
      <c r="K125" s="75" t="s">
        <v>1204</v>
      </c>
      <c r="L125" s="75" t="s">
        <v>336</v>
      </c>
      <c r="M125" s="77"/>
      <c r="N125" s="77"/>
      <c r="O125" s="77"/>
    </row>
    <row r="126" spans="1:15" ht="30">
      <c r="A126" s="77"/>
      <c r="B126" s="71"/>
      <c r="C126" s="73" t="s">
        <v>563</v>
      </c>
      <c r="D126" s="76"/>
      <c r="E126" s="76"/>
      <c r="F126" s="75"/>
      <c r="G126" s="75"/>
      <c r="H126" s="75"/>
      <c r="I126" s="75"/>
      <c r="J126" s="75" t="s">
        <v>1187</v>
      </c>
      <c r="K126" s="77"/>
      <c r="L126" s="77"/>
      <c r="M126" s="77"/>
      <c r="N126" s="77"/>
      <c r="O126" s="77"/>
    </row>
    <row r="127" spans="1:15" ht="30">
      <c r="A127" s="77"/>
      <c r="B127" s="71">
        <v>104</v>
      </c>
      <c r="C127" s="76" t="s">
        <v>564</v>
      </c>
      <c r="D127" s="76" t="s">
        <v>565</v>
      </c>
      <c r="E127" s="76" t="s">
        <v>566</v>
      </c>
      <c r="F127" s="75"/>
      <c r="G127" s="75" t="s">
        <v>334</v>
      </c>
      <c r="H127" s="75" t="s">
        <v>341</v>
      </c>
      <c r="I127" s="75" t="s">
        <v>76</v>
      </c>
      <c r="J127" s="75"/>
      <c r="K127" s="77" t="s">
        <v>1203</v>
      </c>
      <c r="L127" s="77" t="s">
        <v>336</v>
      </c>
      <c r="M127" s="77"/>
      <c r="N127" s="77"/>
      <c r="O127" s="77"/>
    </row>
    <row r="128" spans="1:15" ht="30">
      <c r="A128" s="77"/>
      <c r="B128" s="71">
        <v>105</v>
      </c>
      <c r="C128" s="76" t="s">
        <v>567</v>
      </c>
      <c r="D128" s="76"/>
      <c r="E128" s="76" t="s">
        <v>568</v>
      </c>
      <c r="F128" s="75"/>
      <c r="G128" s="75" t="s">
        <v>334</v>
      </c>
      <c r="H128" s="75" t="s">
        <v>341</v>
      </c>
      <c r="I128" s="75" t="s">
        <v>76</v>
      </c>
      <c r="J128" s="75"/>
      <c r="K128" s="77" t="s">
        <v>1203</v>
      </c>
      <c r="L128" s="77" t="s">
        <v>336</v>
      </c>
      <c r="M128" s="77"/>
      <c r="N128" s="77"/>
      <c r="O128" s="77"/>
    </row>
    <row r="129" spans="1:15" ht="30">
      <c r="A129" s="77"/>
      <c r="B129" s="71">
        <v>106</v>
      </c>
      <c r="C129" s="76" t="s">
        <v>569</v>
      </c>
      <c r="D129" s="76"/>
      <c r="E129" s="77" t="s">
        <v>570</v>
      </c>
      <c r="F129" s="75"/>
      <c r="G129" s="75" t="s">
        <v>334</v>
      </c>
      <c r="H129" s="75" t="s">
        <v>341</v>
      </c>
      <c r="I129" s="75" t="s">
        <v>76</v>
      </c>
      <c r="J129" s="75"/>
      <c r="K129" s="77" t="s">
        <v>1203</v>
      </c>
      <c r="L129" s="77" t="s">
        <v>336</v>
      </c>
      <c r="M129" s="77"/>
      <c r="N129" s="77"/>
      <c r="O129" s="77"/>
    </row>
    <row r="130" spans="1:15" ht="30">
      <c r="A130" s="75"/>
      <c r="B130" s="71">
        <v>107</v>
      </c>
      <c r="C130" s="76" t="s">
        <v>571</v>
      </c>
      <c r="D130" s="76"/>
      <c r="E130" s="76" t="s">
        <v>572</v>
      </c>
      <c r="F130" s="75"/>
      <c r="G130" s="75" t="s">
        <v>334</v>
      </c>
      <c r="H130" s="75" t="s">
        <v>335</v>
      </c>
      <c r="I130" s="75" t="s">
        <v>76</v>
      </c>
      <c r="J130" s="75"/>
      <c r="K130" s="77" t="s">
        <v>1203</v>
      </c>
      <c r="L130" s="77" t="s">
        <v>336</v>
      </c>
      <c r="M130" s="75"/>
      <c r="N130" s="75"/>
      <c r="O130" s="75"/>
    </row>
    <row r="131" spans="1:15" ht="45">
      <c r="A131" s="75"/>
      <c r="B131" s="71">
        <v>108</v>
      </c>
      <c r="C131" s="76" t="s">
        <v>573</v>
      </c>
      <c r="D131" s="76"/>
      <c r="E131" s="76" t="s">
        <v>574</v>
      </c>
      <c r="F131" s="75"/>
      <c r="G131" s="75" t="s">
        <v>334</v>
      </c>
      <c r="H131" s="75" t="s">
        <v>341</v>
      </c>
      <c r="I131" s="75" t="s">
        <v>76</v>
      </c>
      <c r="J131" s="75"/>
      <c r="K131" s="75" t="s">
        <v>1204</v>
      </c>
      <c r="L131" s="75" t="s">
        <v>336</v>
      </c>
      <c r="M131" s="75"/>
      <c r="N131" s="75"/>
      <c r="O131" s="75"/>
    </row>
    <row r="132" spans="1:15">
      <c r="A132" s="75"/>
      <c r="B132" s="71">
        <v>109</v>
      </c>
      <c r="C132" s="76" t="s">
        <v>575</v>
      </c>
      <c r="D132" s="76" t="s">
        <v>486</v>
      </c>
      <c r="E132" s="76" t="s">
        <v>576</v>
      </c>
      <c r="F132" s="75"/>
      <c r="G132" s="75" t="s">
        <v>334</v>
      </c>
      <c r="H132" s="75" t="s">
        <v>341</v>
      </c>
      <c r="I132" s="75" t="s">
        <v>76</v>
      </c>
      <c r="J132" s="75"/>
      <c r="K132" s="75" t="s">
        <v>1204</v>
      </c>
      <c r="L132" s="75" t="s">
        <v>336</v>
      </c>
      <c r="M132" s="75"/>
      <c r="N132" s="75"/>
      <c r="O132" s="75"/>
    </row>
    <row r="133" spans="1:15">
      <c r="A133" s="75"/>
      <c r="B133" s="71">
        <v>110</v>
      </c>
      <c r="C133" s="76" t="s">
        <v>421</v>
      </c>
      <c r="D133" s="76" t="s">
        <v>422</v>
      </c>
      <c r="E133" s="76" t="s">
        <v>577</v>
      </c>
      <c r="F133" s="75"/>
      <c r="G133" s="75" t="s">
        <v>334</v>
      </c>
      <c r="H133" s="75" t="s">
        <v>341</v>
      </c>
      <c r="I133" s="75" t="s">
        <v>76</v>
      </c>
      <c r="J133" s="75"/>
      <c r="K133" s="75" t="s">
        <v>1204</v>
      </c>
      <c r="L133" s="75" t="s">
        <v>336</v>
      </c>
      <c r="M133" s="75"/>
      <c r="N133" s="75"/>
      <c r="O133" s="75"/>
    </row>
    <row r="134" spans="1:15" ht="60">
      <c r="A134" s="75"/>
      <c r="B134" s="71">
        <v>111</v>
      </c>
      <c r="C134" s="76" t="s">
        <v>578</v>
      </c>
      <c r="D134" s="76"/>
      <c r="E134" s="76" t="s">
        <v>579</v>
      </c>
      <c r="F134" s="75"/>
      <c r="G134" s="75" t="s">
        <v>437</v>
      </c>
      <c r="H134" s="75" t="s">
        <v>341</v>
      </c>
      <c r="I134" s="75" t="s">
        <v>104</v>
      </c>
      <c r="J134" s="75"/>
      <c r="K134" s="75" t="s">
        <v>1204</v>
      </c>
      <c r="L134" s="75" t="s">
        <v>336</v>
      </c>
      <c r="M134" s="75"/>
      <c r="N134" s="75"/>
      <c r="O134" s="75"/>
    </row>
    <row r="135" spans="1:15" ht="30">
      <c r="A135" s="75"/>
      <c r="B135" s="71">
        <v>112</v>
      </c>
      <c r="C135" s="76" t="s">
        <v>424</v>
      </c>
      <c r="D135" s="76" t="s">
        <v>425</v>
      </c>
      <c r="E135" s="76" t="s">
        <v>580</v>
      </c>
      <c r="F135" s="75"/>
      <c r="G135" s="75" t="s">
        <v>334</v>
      </c>
      <c r="H135" s="75" t="s">
        <v>341</v>
      </c>
      <c r="I135" s="75" t="s">
        <v>76</v>
      </c>
      <c r="J135" s="75"/>
      <c r="K135" s="75" t="s">
        <v>1204</v>
      </c>
      <c r="L135" s="75" t="s">
        <v>336</v>
      </c>
      <c r="M135" s="75"/>
      <c r="N135" s="75"/>
      <c r="O135" s="75"/>
    </row>
    <row r="136" spans="1:15" ht="60">
      <c r="A136" s="75"/>
      <c r="B136" s="71">
        <v>113</v>
      </c>
      <c r="C136" s="76" t="s">
        <v>581</v>
      </c>
      <c r="D136" s="76"/>
      <c r="E136" s="76" t="s">
        <v>582</v>
      </c>
      <c r="F136" s="75"/>
      <c r="G136" s="75" t="s">
        <v>334</v>
      </c>
      <c r="H136" s="75" t="s">
        <v>341</v>
      </c>
      <c r="I136" s="75" t="s">
        <v>104</v>
      </c>
      <c r="J136" s="75"/>
      <c r="K136" s="75" t="s">
        <v>1204</v>
      </c>
      <c r="L136" s="75" t="s">
        <v>336</v>
      </c>
      <c r="M136" s="75"/>
      <c r="N136" s="75"/>
      <c r="O136" s="75"/>
    </row>
    <row r="137" spans="1:15" ht="45">
      <c r="A137" s="75"/>
      <c r="B137" s="71">
        <v>114</v>
      </c>
      <c r="C137" s="76" t="s">
        <v>583</v>
      </c>
      <c r="D137" s="76"/>
      <c r="E137" s="76" t="s">
        <v>584</v>
      </c>
      <c r="F137" s="75"/>
      <c r="G137" s="75" t="s">
        <v>334</v>
      </c>
      <c r="H137" s="75" t="s">
        <v>341</v>
      </c>
      <c r="I137" s="75" t="s">
        <v>104</v>
      </c>
      <c r="J137" s="75"/>
      <c r="K137" s="75" t="s">
        <v>1204</v>
      </c>
      <c r="L137" s="75" t="s">
        <v>336</v>
      </c>
      <c r="M137" s="75"/>
      <c r="N137" s="75"/>
      <c r="O137" s="75"/>
    </row>
    <row r="138" spans="1:15" ht="60">
      <c r="A138" s="75"/>
      <c r="B138" s="71">
        <v>115</v>
      </c>
      <c r="C138" s="76" t="s">
        <v>585</v>
      </c>
      <c r="D138" s="76"/>
      <c r="E138" s="76" t="s">
        <v>586</v>
      </c>
      <c r="F138" s="75"/>
      <c r="G138" s="75" t="s">
        <v>334</v>
      </c>
      <c r="H138" s="75" t="s">
        <v>341</v>
      </c>
      <c r="I138" s="75" t="s">
        <v>104</v>
      </c>
      <c r="J138" s="75"/>
      <c r="K138" s="75" t="s">
        <v>1204</v>
      </c>
      <c r="L138" s="75" t="s">
        <v>336</v>
      </c>
      <c r="M138" s="75"/>
      <c r="N138" s="75"/>
      <c r="O138" s="75"/>
    </row>
    <row r="139" spans="1:15" ht="30">
      <c r="A139" s="75"/>
      <c r="B139" s="71">
        <v>116</v>
      </c>
      <c r="C139" s="76" t="s">
        <v>587</v>
      </c>
      <c r="D139" s="76" t="s">
        <v>588</v>
      </c>
      <c r="E139" s="76" t="s">
        <v>589</v>
      </c>
      <c r="F139" s="75"/>
      <c r="G139" s="75" t="s">
        <v>334</v>
      </c>
      <c r="H139" s="75" t="s">
        <v>341</v>
      </c>
      <c r="I139" s="75" t="s">
        <v>76</v>
      </c>
      <c r="J139" s="75"/>
      <c r="K139" s="77" t="s">
        <v>1203</v>
      </c>
      <c r="L139" s="77" t="s">
        <v>336</v>
      </c>
      <c r="M139" s="75"/>
      <c r="N139" s="75"/>
      <c r="O139" s="75"/>
    </row>
    <row r="140" spans="1:15">
      <c r="A140" s="75" t="s">
        <v>590</v>
      </c>
      <c r="B140" s="71"/>
      <c r="C140" s="73" t="s">
        <v>591</v>
      </c>
      <c r="D140" s="88"/>
      <c r="E140" s="88"/>
      <c r="F140" s="75"/>
      <c r="G140" s="75"/>
      <c r="H140" s="75"/>
      <c r="I140" s="75"/>
      <c r="J140" s="75"/>
      <c r="K140" s="75"/>
      <c r="L140" s="75"/>
      <c r="M140" s="75"/>
      <c r="N140" s="75"/>
      <c r="O140" s="75"/>
    </row>
    <row r="141" spans="1:15">
      <c r="A141" s="75"/>
      <c r="B141" s="71">
        <v>117</v>
      </c>
      <c r="C141" s="76" t="s">
        <v>592</v>
      </c>
      <c r="D141" s="76"/>
      <c r="E141" s="76" t="s">
        <v>1183</v>
      </c>
      <c r="F141" s="75"/>
      <c r="G141" s="75" t="s">
        <v>334</v>
      </c>
      <c r="H141" s="75" t="s">
        <v>341</v>
      </c>
      <c r="I141" s="75" t="s">
        <v>76</v>
      </c>
      <c r="J141" s="75"/>
      <c r="K141" s="75" t="s">
        <v>1203</v>
      </c>
      <c r="L141" s="75" t="s">
        <v>336</v>
      </c>
      <c r="M141" s="75"/>
      <c r="N141" s="75"/>
      <c r="O141" s="75"/>
    </row>
    <row r="142" spans="1:15" ht="135">
      <c r="A142" s="75"/>
      <c r="B142" s="71">
        <v>118</v>
      </c>
      <c r="C142" s="76" t="s">
        <v>1060</v>
      </c>
      <c r="D142" s="76"/>
      <c r="E142" s="76" t="s">
        <v>593</v>
      </c>
      <c r="F142" s="75"/>
      <c r="G142" s="75" t="s">
        <v>334</v>
      </c>
      <c r="H142" s="75" t="s">
        <v>341</v>
      </c>
      <c r="I142" s="75" t="s">
        <v>76</v>
      </c>
      <c r="J142" s="75"/>
      <c r="K142" s="75" t="s">
        <v>1204</v>
      </c>
      <c r="L142" s="75" t="s">
        <v>336</v>
      </c>
      <c r="M142" s="75"/>
      <c r="N142" s="75"/>
      <c r="O142" s="75"/>
    </row>
    <row r="143" spans="1:15" ht="30">
      <c r="A143" s="75"/>
      <c r="B143" s="71">
        <v>119</v>
      </c>
      <c r="C143" s="76" t="s">
        <v>594</v>
      </c>
      <c r="D143" s="88"/>
      <c r="E143" s="76" t="s">
        <v>595</v>
      </c>
      <c r="F143" s="75"/>
      <c r="G143" s="75" t="s">
        <v>334</v>
      </c>
      <c r="H143" s="75" t="s">
        <v>335</v>
      </c>
      <c r="I143" s="75" t="s">
        <v>76</v>
      </c>
      <c r="J143" s="75"/>
      <c r="K143" s="75" t="s">
        <v>1203</v>
      </c>
      <c r="L143" s="75" t="s">
        <v>336</v>
      </c>
      <c r="M143" s="75"/>
      <c r="N143" s="75"/>
      <c r="O143" s="75"/>
    </row>
    <row r="144" spans="1:15" ht="45">
      <c r="A144" s="75"/>
      <c r="B144" s="71">
        <v>120</v>
      </c>
      <c r="C144" s="76" t="s">
        <v>596</v>
      </c>
      <c r="D144" s="88"/>
      <c r="E144" s="76" t="s">
        <v>597</v>
      </c>
      <c r="F144" s="75"/>
      <c r="G144" s="75" t="s">
        <v>334</v>
      </c>
      <c r="H144" s="75" t="s">
        <v>341</v>
      </c>
      <c r="I144" s="75" t="s">
        <v>104</v>
      </c>
      <c r="J144" s="75"/>
      <c r="K144" s="75" t="s">
        <v>1204</v>
      </c>
      <c r="L144" s="75" t="s">
        <v>336</v>
      </c>
      <c r="M144" s="75"/>
      <c r="N144" s="75"/>
      <c r="O144" s="75"/>
    </row>
    <row r="145" spans="1:15" ht="30">
      <c r="A145" s="75"/>
      <c r="B145" s="71">
        <v>121</v>
      </c>
      <c r="C145" s="76" t="s">
        <v>598</v>
      </c>
      <c r="D145" s="76" t="s">
        <v>599</v>
      </c>
      <c r="E145" s="76" t="s">
        <v>600</v>
      </c>
      <c r="F145" s="75"/>
      <c r="G145" s="75" t="s">
        <v>334</v>
      </c>
      <c r="H145" s="75" t="s">
        <v>341</v>
      </c>
      <c r="I145" s="75" t="s">
        <v>104</v>
      </c>
      <c r="J145" s="75"/>
      <c r="K145" s="75" t="s">
        <v>1204</v>
      </c>
      <c r="L145" s="75" t="s">
        <v>336</v>
      </c>
      <c r="M145" s="75"/>
      <c r="N145" s="75"/>
      <c r="O145" s="75"/>
    </row>
    <row r="146" spans="1:15" ht="45">
      <c r="A146" s="75"/>
      <c r="B146" s="71">
        <v>122</v>
      </c>
      <c r="C146" s="76" t="s">
        <v>603</v>
      </c>
      <c r="D146" s="76" t="s">
        <v>604</v>
      </c>
      <c r="E146" s="76" t="s">
        <v>605</v>
      </c>
      <c r="F146" s="75"/>
      <c r="G146" s="75" t="s">
        <v>334</v>
      </c>
      <c r="H146" s="75" t="s">
        <v>341</v>
      </c>
      <c r="I146" s="75" t="s">
        <v>104</v>
      </c>
      <c r="J146" s="75"/>
      <c r="K146" s="75" t="s">
        <v>1204</v>
      </c>
      <c r="L146" s="75" t="s">
        <v>336</v>
      </c>
      <c r="M146" s="75"/>
      <c r="N146" s="75"/>
      <c r="O146" s="75"/>
    </row>
    <row r="147" spans="1:15" ht="30">
      <c r="A147" s="75"/>
      <c r="B147" s="71">
        <v>123</v>
      </c>
      <c r="C147" s="76" t="s">
        <v>601</v>
      </c>
      <c r="D147" s="76"/>
      <c r="E147" s="76" t="s">
        <v>602</v>
      </c>
      <c r="F147" s="75"/>
      <c r="G147" s="75" t="s">
        <v>334</v>
      </c>
      <c r="H147" s="75" t="s">
        <v>335</v>
      </c>
      <c r="I147" s="75" t="s">
        <v>76</v>
      </c>
      <c r="J147" s="75" t="s">
        <v>1187</v>
      </c>
      <c r="K147" s="75" t="s">
        <v>1203</v>
      </c>
      <c r="L147" s="75" t="s">
        <v>336</v>
      </c>
      <c r="M147" s="75"/>
      <c r="N147" s="75"/>
      <c r="O147" s="75"/>
    </row>
    <row r="148" spans="1:15" ht="30">
      <c r="A148" s="75"/>
      <c r="B148" s="71">
        <v>124</v>
      </c>
      <c r="C148" s="76" t="s">
        <v>612</v>
      </c>
      <c r="D148" s="76" t="s">
        <v>613</v>
      </c>
      <c r="E148" s="76" t="s">
        <v>614</v>
      </c>
      <c r="F148" s="75"/>
      <c r="G148" s="75" t="s">
        <v>334</v>
      </c>
      <c r="H148" s="75" t="s">
        <v>341</v>
      </c>
      <c r="I148" s="75" t="s">
        <v>76</v>
      </c>
      <c r="J148" s="75"/>
      <c r="K148" s="75" t="s">
        <v>1204</v>
      </c>
      <c r="L148" s="75" t="s">
        <v>336</v>
      </c>
      <c r="M148" s="75"/>
      <c r="N148" s="75"/>
      <c r="O148" s="75"/>
    </row>
    <row r="149" spans="1:15" ht="30">
      <c r="A149" s="75"/>
      <c r="B149" s="71">
        <v>125</v>
      </c>
      <c r="C149" s="76" t="s">
        <v>606</v>
      </c>
      <c r="D149" s="76" t="s">
        <v>607</v>
      </c>
      <c r="E149" s="76" t="s">
        <v>608</v>
      </c>
      <c r="F149" s="75"/>
      <c r="G149" s="75" t="s">
        <v>334</v>
      </c>
      <c r="H149" s="75" t="s">
        <v>341</v>
      </c>
      <c r="I149" s="75" t="s">
        <v>76</v>
      </c>
      <c r="J149" s="75"/>
      <c r="K149" s="75" t="s">
        <v>1203</v>
      </c>
      <c r="L149" s="75" t="s">
        <v>336</v>
      </c>
      <c r="M149" s="75"/>
      <c r="N149" s="75"/>
      <c r="O149" s="75"/>
    </row>
    <row r="150" spans="1:15" ht="30">
      <c r="A150" s="75"/>
      <c r="B150" s="71">
        <v>126</v>
      </c>
      <c r="C150" s="76" t="s">
        <v>609</v>
      </c>
      <c r="D150" s="76" t="s">
        <v>610</v>
      </c>
      <c r="E150" s="76" t="s">
        <v>611</v>
      </c>
      <c r="F150" s="75"/>
      <c r="G150" s="75" t="s">
        <v>334</v>
      </c>
      <c r="H150" s="75" t="s">
        <v>341</v>
      </c>
      <c r="I150" s="75" t="s">
        <v>76</v>
      </c>
      <c r="J150" s="75"/>
      <c r="K150" s="75" t="s">
        <v>1203</v>
      </c>
      <c r="L150" s="75" t="s">
        <v>336</v>
      </c>
      <c r="M150" s="75"/>
      <c r="N150" s="75"/>
      <c r="O150" s="75"/>
    </row>
    <row r="151" spans="1:15" ht="30">
      <c r="A151" s="75"/>
      <c r="B151" s="71">
        <v>127</v>
      </c>
      <c r="C151" s="76" t="s">
        <v>1184</v>
      </c>
      <c r="D151" s="76" t="s">
        <v>1185</v>
      </c>
      <c r="E151" s="76" t="s">
        <v>614</v>
      </c>
      <c r="F151" s="75"/>
      <c r="G151" s="75" t="s">
        <v>334</v>
      </c>
      <c r="H151" s="75" t="s">
        <v>341</v>
      </c>
      <c r="I151" s="75" t="s">
        <v>76</v>
      </c>
      <c r="J151" s="75"/>
      <c r="K151" s="75" t="s">
        <v>1203</v>
      </c>
      <c r="L151" s="75" t="s">
        <v>336</v>
      </c>
      <c r="M151" s="75"/>
      <c r="N151" s="75"/>
      <c r="O151" s="75"/>
    </row>
    <row r="152" spans="1:15" ht="30">
      <c r="A152" s="75"/>
      <c r="B152" s="71">
        <v>128</v>
      </c>
      <c r="C152" s="76" t="s">
        <v>615</v>
      </c>
      <c r="D152" s="76" t="s">
        <v>616</v>
      </c>
      <c r="E152" s="76" t="s">
        <v>617</v>
      </c>
      <c r="F152" s="75"/>
      <c r="G152" s="75" t="s">
        <v>334</v>
      </c>
      <c r="H152" s="75" t="s">
        <v>341</v>
      </c>
      <c r="I152" s="75" t="s">
        <v>76</v>
      </c>
      <c r="J152" s="75"/>
      <c r="K152" s="75" t="s">
        <v>1203</v>
      </c>
      <c r="L152" s="75" t="s">
        <v>336</v>
      </c>
      <c r="M152" s="75"/>
      <c r="N152" s="75"/>
      <c r="O152" s="75"/>
    </row>
    <row r="153" spans="1:15" ht="30">
      <c r="A153" s="75" t="s">
        <v>618</v>
      </c>
      <c r="B153" s="71"/>
      <c r="C153" s="73" t="s">
        <v>619</v>
      </c>
      <c r="D153" s="88"/>
      <c r="E153" s="88"/>
      <c r="F153" s="75"/>
      <c r="G153" s="75"/>
      <c r="H153" s="75"/>
      <c r="I153" s="75"/>
      <c r="J153" s="75" t="s">
        <v>1187</v>
      </c>
      <c r="K153" s="75"/>
      <c r="L153" s="75"/>
      <c r="M153" s="75"/>
      <c r="N153" s="75"/>
      <c r="O153" s="75"/>
    </row>
    <row r="154" spans="1:15">
      <c r="A154" s="75"/>
      <c r="B154" s="71">
        <v>129</v>
      </c>
      <c r="C154" s="88" t="s">
        <v>620</v>
      </c>
      <c r="D154" s="88"/>
      <c r="E154" s="88" t="s">
        <v>1186</v>
      </c>
      <c r="F154" s="75"/>
      <c r="G154" s="75" t="s">
        <v>334</v>
      </c>
      <c r="H154" s="75" t="s">
        <v>341</v>
      </c>
      <c r="I154" s="75" t="s">
        <v>76</v>
      </c>
      <c r="J154" s="75"/>
      <c r="K154" s="75" t="s">
        <v>1203</v>
      </c>
      <c r="L154" s="75" t="s">
        <v>336</v>
      </c>
      <c r="M154" s="75"/>
      <c r="N154" s="75"/>
      <c r="O154" s="75"/>
    </row>
    <row r="155" spans="1:15" ht="150">
      <c r="A155" s="75"/>
      <c r="B155" s="71">
        <v>130</v>
      </c>
      <c r="C155" s="88" t="s">
        <v>621</v>
      </c>
      <c r="D155" s="88"/>
      <c r="E155" s="88" t="s">
        <v>622</v>
      </c>
      <c r="F155" s="75"/>
      <c r="G155" s="75" t="s">
        <v>334</v>
      </c>
      <c r="H155" s="75" t="s">
        <v>341</v>
      </c>
      <c r="I155" s="75" t="s">
        <v>76</v>
      </c>
      <c r="J155" s="75"/>
      <c r="K155" s="75" t="s">
        <v>1203</v>
      </c>
      <c r="L155" s="75" t="s">
        <v>336</v>
      </c>
      <c r="M155" s="75"/>
      <c r="N155" s="75"/>
      <c r="O155" s="75"/>
    </row>
    <row r="156" spans="1:15">
      <c r="A156" s="75"/>
      <c r="B156" s="71"/>
      <c r="C156" s="73" t="s">
        <v>623</v>
      </c>
      <c r="D156" s="88"/>
      <c r="E156" s="88"/>
      <c r="F156" s="75"/>
      <c r="G156" s="75"/>
      <c r="H156" s="75"/>
      <c r="I156" s="75"/>
      <c r="J156" s="75"/>
      <c r="K156" s="75"/>
      <c r="L156" s="75"/>
      <c r="M156" s="75"/>
      <c r="N156" s="75"/>
      <c r="O156" s="75"/>
    </row>
    <row r="157" spans="1:15" ht="30">
      <c r="A157" s="75"/>
      <c r="B157" s="71">
        <v>131</v>
      </c>
      <c r="C157" s="88" t="s">
        <v>624</v>
      </c>
      <c r="D157" s="88"/>
      <c r="E157" s="88" t="s">
        <v>625</v>
      </c>
      <c r="F157" s="75"/>
      <c r="G157" s="75" t="s">
        <v>334</v>
      </c>
      <c r="H157" s="75" t="s">
        <v>341</v>
      </c>
      <c r="I157" s="75" t="s">
        <v>76</v>
      </c>
      <c r="J157" s="75"/>
      <c r="K157" s="75" t="s">
        <v>1203</v>
      </c>
      <c r="L157" s="75" t="s">
        <v>336</v>
      </c>
      <c r="M157" s="75"/>
      <c r="N157" s="75"/>
      <c r="O157" s="75"/>
    </row>
    <row r="158" spans="1:15" ht="45">
      <c r="A158" s="75"/>
      <c r="B158" s="71">
        <v>132</v>
      </c>
      <c r="C158" s="88" t="s">
        <v>626</v>
      </c>
      <c r="D158" s="88" t="s">
        <v>627</v>
      </c>
      <c r="E158" s="88" t="s">
        <v>628</v>
      </c>
      <c r="F158" s="75"/>
      <c r="G158" s="75" t="s">
        <v>334</v>
      </c>
      <c r="H158" s="75" t="s">
        <v>341</v>
      </c>
      <c r="I158" s="75" t="s">
        <v>76</v>
      </c>
      <c r="J158" s="75"/>
      <c r="K158" s="75" t="s">
        <v>1203</v>
      </c>
      <c r="L158" s="75" t="s">
        <v>336</v>
      </c>
      <c r="M158" s="75"/>
      <c r="N158" s="75"/>
      <c r="O158" s="75"/>
    </row>
    <row r="159" spans="1:15">
      <c r="A159" s="75"/>
      <c r="B159" s="71">
        <v>133</v>
      </c>
      <c r="C159" s="88" t="s">
        <v>629</v>
      </c>
      <c r="D159" s="88" t="s">
        <v>430</v>
      </c>
      <c r="E159" s="88" t="s">
        <v>630</v>
      </c>
      <c r="F159" s="75"/>
      <c r="G159" s="75" t="s">
        <v>334</v>
      </c>
      <c r="H159" s="75" t="s">
        <v>341</v>
      </c>
      <c r="I159" s="75" t="s">
        <v>76</v>
      </c>
      <c r="J159" s="75"/>
      <c r="K159" s="75" t="s">
        <v>1203</v>
      </c>
      <c r="L159" s="75" t="s">
        <v>336</v>
      </c>
      <c r="M159" s="75"/>
      <c r="N159" s="75"/>
      <c r="O159" s="75"/>
    </row>
    <row r="160" spans="1:15">
      <c r="A160" s="75" t="s">
        <v>631</v>
      </c>
      <c r="B160" s="71"/>
      <c r="C160" s="73" t="s">
        <v>632</v>
      </c>
      <c r="D160" s="88"/>
      <c r="E160" s="88"/>
      <c r="F160" s="75"/>
      <c r="G160" s="75"/>
      <c r="H160" s="75"/>
      <c r="I160" s="75"/>
      <c r="J160" s="75"/>
      <c r="K160" s="75"/>
      <c r="L160" s="75"/>
      <c r="M160" s="75"/>
      <c r="N160" s="75"/>
      <c r="O160" s="75"/>
    </row>
    <row r="161" spans="1:15">
      <c r="A161" s="75"/>
      <c r="B161" s="71"/>
      <c r="C161" s="73" t="s">
        <v>633</v>
      </c>
      <c r="D161" s="88"/>
      <c r="E161" s="88"/>
      <c r="F161" s="75"/>
      <c r="G161" s="75"/>
      <c r="H161" s="75"/>
      <c r="I161" s="75"/>
      <c r="J161" s="75"/>
      <c r="K161" s="75"/>
      <c r="L161" s="75"/>
      <c r="M161" s="75"/>
      <c r="N161" s="75"/>
      <c r="O161" s="75"/>
    </row>
    <row r="162" spans="1:15" ht="30">
      <c r="A162" s="75"/>
      <c r="B162" s="71">
        <v>134</v>
      </c>
      <c r="C162" s="88" t="s">
        <v>634</v>
      </c>
      <c r="D162" s="88" t="s">
        <v>635</v>
      </c>
      <c r="E162" s="88" t="s">
        <v>636</v>
      </c>
      <c r="F162" s="75"/>
      <c r="G162" s="75" t="s">
        <v>334</v>
      </c>
      <c r="H162" s="75" t="s">
        <v>341</v>
      </c>
      <c r="I162" s="75" t="s">
        <v>76</v>
      </c>
      <c r="J162" s="75"/>
      <c r="K162" s="75" t="s">
        <v>1203</v>
      </c>
      <c r="L162" s="75" t="s">
        <v>336</v>
      </c>
      <c r="M162" s="75"/>
      <c r="N162" s="75"/>
      <c r="O162" s="75"/>
    </row>
    <row r="163" spans="1:15" ht="45">
      <c r="A163" s="75"/>
      <c r="B163" s="71">
        <v>135</v>
      </c>
      <c r="C163" s="88" t="s">
        <v>637</v>
      </c>
      <c r="D163" s="88"/>
      <c r="E163" s="88" t="s">
        <v>638</v>
      </c>
      <c r="F163" s="75"/>
      <c r="G163" s="75" t="s">
        <v>334</v>
      </c>
      <c r="H163" s="75" t="s">
        <v>341</v>
      </c>
      <c r="I163" s="75" t="s">
        <v>76</v>
      </c>
      <c r="J163" s="75"/>
      <c r="K163" s="75" t="s">
        <v>1204</v>
      </c>
      <c r="L163" s="75" t="s">
        <v>336</v>
      </c>
      <c r="M163" s="75"/>
      <c r="N163" s="75"/>
      <c r="O163" s="75"/>
    </row>
    <row r="164" spans="1:15" ht="30">
      <c r="A164" s="75"/>
      <c r="B164" s="71">
        <v>136</v>
      </c>
      <c r="C164" s="88" t="s">
        <v>639</v>
      </c>
      <c r="D164" s="88" t="s">
        <v>640</v>
      </c>
      <c r="E164" s="88" t="s">
        <v>641</v>
      </c>
      <c r="F164" s="75"/>
      <c r="G164" s="75" t="s">
        <v>334</v>
      </c>
      <c r="H164" s="75" t="s">
        <v>341</v>
      </c>
      <c r="I164" s="75" t="s">
        <v>76</v>
      </c>
      <c r="J164" s="75"/>
      <c r="K164" s="75" t="s">
        <v>1203</v>
      </c>
      <c r="L164" s="75" t="s">
        <v>336</v>
      </c>
      <c r="M164" s="75"/>
      <c r="N164" s="75"/>
      <c r="O164" s="75"/>
    </row>
    <row r="165" spans="1:15">
      <c r="A165" s="75"/>
      <c r="B165" s="71"/>
      <c r="C165" s="73" t="s">
        <v>642</v>
      </c>
      <c r="D165" s="88"/>
      <c r="E165" s="88"/>
      <c r="F165" s="75"/>
      <c r="G165" s="75"/>
      <c r="H165" s="75"/>
      <c r="I165" s="75"/>
      <c r="J165" s="75"/>
      <c r="K165" s="75"/>
      <c r="L165" s="75"/>
      <c r="M165" s="75"/>
      <c r="N165" s="75"/>
      <c r="O165" s="75"/>
    </row>
    <row r="166" spans="1:15" ht="30">
      <c r="A166" s="75"/>
      <c r="B166" s="71">
        <v>137</v>
      </c>
      <c r="C166" s="88" t="s">
        <v>643</v>
      </c>
      <c r="D166" s="88" t="s">
        <v>644</v>
      </c>
      <c r="E166" s="88" t="s">
        <v>645</v>
      </c>
      <c r="F166" s="75"/>
      <c r="G166" s="75" t="s">
        <v>334</v>
      </c>
      <c r="H166" s="75" t="s">
        <v>341</v>
      </c>
      <c r="I166" s="75" t="s">
        <v>76</v>
      </c>
      <c r="J166" s="75"/>
      <c r="K166" s="75" t="s">
        <v>1204</v>
      </c>
      <c r="L166" s="75" t="s">
        <v>336</v>
      </c>
      <c r="M166" s="89"/>
      <c r="N166" s="75"/>
      <c r="O166" s="75"/>
    </row>
    <row r="167" spans="1:15" ht="30">
      <c r="A167" s="75"/>
      <c r="B167" s="71">
        <v>138</v>
      </c>
      <c r="C167" s="88" t="s">
        <v>646</v>
      </c>
      <c r="D167" s="88" t="s">
        <v>647</v>
      </c>
      <c r="E167" s="88" t="s">
        <v>648</v>
      </c>
      <c r="F167" s="75"/>
      <c r="G167" s="75" t="s">
        <v>334</v>
      </c>
      <c r="H167" s="75" t="s">
        <v>341</v>
      </c>
      <c r="I167" s="75" t="s">
        <v>76</v>
      </c>
      <c r="J167" s="75"/>
      <c r="K167" s="75" t="s">
        <v>1204</v>
      </c>
      <c r="L167" s="75" t="s">
        <v>336</v>
      </c>
      <c r="M167" s="89"/>
      <c r="N167" s="75"/>
      <c r="O167" s="75"/>
    </row>
    <row r="168" spans="1:15" ht="30">
      <c r="A168" s="75"/>
      <c r="B168" s="71">
        <v>139</v>
      </c>
      <c r="C168" s="88" t="s">
        <v>649</v>
      </c>
      <c r="D168" s="88"/>
      <c r="E168" s="88" t="s">
        <v>650</v>
      </c>
      <c r="F168" s="75"/>
      <c r="G168" s="75" t="s">
        <v>334</v>
      </c>
      <c r="H168" s="75" t="s">
        <v>341</v>
      </c>
      <c r="I168" s="75" t="s">
        <v>76</v>
      </c>
      <c r="J168" s="75"/>
      <c r="K168" s="75" t="s">
        <v>1204</v>
      </c>
      <c r="L168" s="75" t="s">
        <v>336</v>
      </c>
      <c r="M168" s="89"/>
      <c r="N168" s="75"/>
      <c r="O168" s="75"/>
    </row>
    <row r="169" spans="1:15" ht="30">
      <c r="A169" s="75"/>
      <c r="B169" s="71">
        <v>140</v>
      </c>
      <c r="C169" s="88" t="s">
        <v>639</v>
      </c>
      <c r="D169" s="88" t="s">
        <v>640</v>
      </c>
      <c r="E169" s="88" t="s">
        <v>641</v>
      </c>
      <c r="F169" s="75"/>
      <c r="G169" s="75" t="s">
        <v>334</v>
      </c>
      <c r="H169" s="75" t="s">
        <v>341</v>
      </c>
      <c r="I169" s="75" t="s">
        <v>76</v>
      </c>
      <c r="J169" s="75"/>
      <c r="K169" s="75" t="s">
        <v>1204</v>
      </c>
      <c r="L169" s="75" t="s">
        <v>336</v>
      </c>
      <c r="M169" s="89"/>
      <c r="N169" s="75"/>
      <c r="O169" s="75"/>
    </row>
    <row r="170" spans="1:15">
      <c r="A170" s="75"/>
      <c r="B170" s="71"/>
      <c r="C170" s="73" t="s">
        <v>651</v>
      </c>
      <c r="D170" s="88"/>
      <c r="E170" s="88"/>
      <c r="F170" s="75"/>
      <c r="G170" s="75"/>
      <c r="H170" s="75"/>
      <c r="I170" s="75"/>
      <c r="J170" s="75"/>
      <c r="K170" s="75"/>
      <c r="L170" s="75"/>
      <c r="M170" s="75"/>
      <c r="N170" s="75"/>
      <c r="O170" s="75"/>
    </row>
    <row r="171" spans="1:15">
      <c r="A171" s="75"/>
      <c r="B171" s="71">
        <v>141</v>
      </c>
      <c r="C171" s="88" t="s">
        <v>652</v>
      </c>
      <c r="D171" s="88" t="s">
        <v>653</v>
      </c>
      <c r="E171" s="88" t="s">
        <v>1188</v>
      </c>
      <c r="F171" s="75"/>
      <c r="G171" s="75" t="s">
        <v>334</v>
      </c>
      <c r="H171" s="75" t="s">
        <v>341</v>
      </c>
      <c r="I171" s="75" t="s">
        <v>76</v>
      </c>
      <c r="J171" s="75"/>
      <c r="K171" s="75" t="s">
        <v>1204</v>
      </c>
      <c r="L171" s="75" t="s">
        <v>336</v>
      </c>
      <c r="M171" s="75"/>
      <c r="N171" s="75"/>
      <c r="O171" s="75"/>
    </row>
    <row r="172" spans="1:15" ht="30">
      <c r="A172" s="75"/>
      <c r="B172" s="71">
        <v>142</v>
      </c>
      <c r="C172" s="88" t="s">
        <v>654</v>
      </c>
      <c r="D172" s="88" t="s">
        <v>655</v>
      </c>
      <c r="E172" s="88" t="s">
        <v>656</v>
      </c>
      <c r="F172" s="75"/>
      <c r="G172" s="75" t="s">
        <v>334</v>
      </c>
      <c r="H172" s="75" t="s">
        <v>341</v>
      </c>
      <c r="I172" s="75" t="s">
        <v>76</v>
      </c>
      <c r="J172" s="75"/>
      <c r="K172" s="75" t="s">
        <v>1204</v>
      </c>
      <c r="L172" s="75" t="s">
        <v>336</v>
      </c>
      <c r="M172" s="75"/>
      <c r="N172" s="75"/>
      <c r="O172" s="75"/>
    </row>
    <row r="173" spans="1:15" ht="45">
      <c r="A173" s="75"/>
      <c r="B173" s="71">
        <v>143</v>
      </c>
      <c r="C173" s="88" t="s">
        <v>657</v>
      </c>
      <c r="D173" s="88" t="s">
        <v>658</v>
      </c>
      <c r="E173" s="88" t="s">
        <v>659</v>
      </c>
      <c r="F173" s="75"/>
      <c r="G173" s="75" t="s">
        <v>334</v>
      </c>
      <c r="H173" s="75" t="s">
        <v>341</v>
      </c>
      <c r="I173" s="75" t="s">
        <v>76</v>
      </c>
      <c r="J173" s="75"/>
      <c r="K173" s="75" t="s">
        <v>1204</v>
      </c>
      <c r="L173" s="75" t="s">
        <v>336</v>
      </c>
      <c r="M173" s="75"/>
      <c r="N173" s="75"/>
      <c r="O173" s="75"/>
    </row>
    <row r="174" spans="1:15">
      <c r="A174" s="75"/>
      <c r="B174" s="71">
        <v>144</v>
      </c>
      <c r="C174" s="88" t="s">
        <v>660</v>
      </c>
      <c r="D174" s="88" t="s">
        <v>661</v>
      </c>
      <c r="E174" s="88" t="s">
        <v>662</v>
      </c>
      <c r="F174" s="75"/>
      <c r="G174" s="75" t="s">
        <v>334</v>
      </c>
      <c r="H174" s="75" t="s">
        <v>341</v>
      </c>
      <c r="I174" s="75" t="s">
        <v>104</v>
      </c>
      <c r="J174" s="75"/>
      <c r="K174" s="75" t="s">
        <v>1204</v>
      </c>
      <c r="L174" s="75" t="s">
        <v>336</v>
      </c>
      <c r="M174" s="75"/>
      <c r="N174" s="75"/>
      <c r="O174" s="75"/>
    </row>
    <row r="175" spans="1:15" ht="30">
      <c r="A175" s="75"/>
      <c r="B175" s="71">
        <v>145</v>
      </c>
      <c r="C175" s="88" t="s">
        <v>639</v>
      </c>
      <c r="D175" s="88" t="s">
        <v>640</v>
      </c>
      <c r="E175" s="88" t="s">
        <v>641</v>
      </c>
      <c r="F175" s="75"/>
      <c r="G175" s="75" t="s">
        <v>334</v>
      </c>
      <c r="H175" s="75" t="s">
        <v>341</v>
      </c>
      <c r="I175" s="75" t="s">
        <v>76</v>
      </c>
      <c r="J175" s="75"/>
      <c r="K175" s="75" t="s">
        <v>1204</v>
      </c>
      <c r="L175" s="75" t="s">
        <v>336</v>
      </c>
      <c r="M175" s="75"/>
      <c r="N175" s="75"/>
      <c r="O175" s="75"/>
    </row>
    <row r="176" spans="1:15">
      <c r="A176" s="75"/>
      <c r="B176" s="71"/>
      <c r="C176" s="73" t="s">
        <v>663</v>
      </c>
      <c r="D176" s="88"/>
      <c r="E176" s="88"/>
      <c r="F176" s="75"/>
      <c r="G176" s="75"/>
      <c r="H176" s="75"/>
      <c r="I176" s="75"/>
      <c r="J176" s="75"/>
      <c r="K176" s="75"/>
      <c r="L176" s="75"/>
      <c r="M176" s="75"/>
      <c r="N176" s="75"/>
      <c r="O176" s="75"/>
    </row>
    <row r="177" spans="1:15" ht="30">
      <c r="A177" s="75"/>
      <c r="B177" s="71">
        <v>146</v>
      </c>
      <c r="C177" s="88" t="s">
        <v>664</v>
      </c>
      <c r="D177" s="88" t="s">
        <v>665</v>
      </c>
      <c r="E177" s="88" t="s">
        <v>666</v>
      </c>
      <c r="F177" s="75"/>
      <c r="G177" s="75" t="s">
        <v>334</v>
      </c>
      <c r="H177" s="75" t="s">
        <v>341</v>
      </c>
      <c r="I177" s="75" t="s">
        <v>76</v>
      </c>
      <c r="J177" s="75"/>
      <c r="K177" s="75" t="s">
        <v>1203</v>
      </c>
      <c r="L177" s="75" t="s">
        <v>336</v>
      </c>
      <c r="M177" s="75"/>
      <c r="N177" s="75"/>
      <c r="O177" s="75"/>
    </row>
    <row r="178" spans="1:15" ht="30">
      <c r="A178" s="75"/>
      <c r="B178" s="71">
        <v>147</v>
      </c>
      <c r="C178" s="88" t="s">
        <v>667</v>
      </c>
      <c r="D178" s="88"/>
      <c r="E178" s="88" t="s">
        <v>668</v>
      </c>
      <c r="F178" s="75"/>
      <c r="G178" s="75" t="s">
        <v>334</v>
      </c>
      <c r="H178" s="75" t="s">
        <v>341</v>
      </c>
      <c r="I178" s="75" t="s">
        <v>76</v>
      </c>
      <c r="J178" s="75"/>
      <c r="K178" s="75" t="s">
        <v>1203</v>
      </c>
      <c r="L178" s="75" t="s">
        <v>336</v>
      </c>
      <c r="N178" s="75"/>
      <c r="O178" s="75"/>
    </row>
    <row r="179" spans="1:15" ht="45">
      <c r="A179" s="75"/>
      <c r="B179" s="71">
        <v>148</v>
      </c>
      <c r="C179" s="88" t="s">
        <v>669</v>
      </c>
      <c r="D179" s="75" t="s">
        <v>670</v>
      </c>
      <c r="E179" s="88" t="s">
        <v>671</v>
      </c>
      <c r="F179" s="75"/>
      <c r="G179" s="75" t="s">
        <v>334</v>
      </c>
      <c r="H179" s="75" t="s">
        <v>341</v>
      </c>
      <c r="I179" s="75" t="s">
        <v>76</v>
      </c>
      <c r="J179" s="75"/>
      <c r="K179" s="75" t="s">
        <v>1203</v>
      </c>
      <c r="L179" s="75" t="s">
        <v>336</v>
      </c>
      <c r="M179" s="75"/>
      <c r="N179" s="75"/>
      <c r="O179" s="75"/>
    </row>
    <row r="180" spans="1:15" ht="30">
      <c r="A180" s="75"/>
      <c r="B180" s="71">
        <v>149</v>
      </c>
      <c r="C180" s="88" t="s">
        <v>672</v>
      </c>
      <c r="D180" s="88"/>
      <c r="E180" s="88" t="s">
        <v>673</v>
      </c>
      <c r="F180" s="75"/>
      <c r="G180" s="75" t="s">
        <v>334</v>
      </c>
      <c r="H180" s="75" t="s">
        <v>341</v>
      </c>
      <c r="I180" s="75" t="s">
        <v>76</v>
      </c>
      <c r="J180" s="75"/>
      <c r="K180" s="75" t="s">
        <v>1204</v>
      </c>
      <c r="L180" s="75" t="s">
        <v>336</v>
      </c>
      <c r="M180" s="75"/>
      <c r="N180" s="75"/>
      <c r="O180" s="75"/>
    </row>
    <row r="181" spans="1:15" ht="54" customHeight="1">
      <c r="A181" s="75"/>
      <c r="B181" s="71">
        <v>150</v>
      </c>
      <c r="C181" s="88" t="s">
        <v>674</v>
      </c>
      <c r="D181" s="75" t="s">
        <v>675</v>
      </c>
      <c r="E181" s="88" t="s">
        <v>671</v>
      </c>
      <c r="F181" s="75"/>
      <c r="G181" s="75" t="s">
        <v>334</v>
      </c>
      <c r="H181" s="75" t="s">
        <v>341</v>
      </c>
      <c r="I181" s="75" t="s">
        <v>76</v>
      </c>
      <c r="J181" s="75"/>
      <c r="K181" s="75" t="s">
        <v>1204</v>
      </c>
      <c r="L181" s="75" t="s">
        <v>336</v>
      </c>
      <c r="M181" s="75"/>
      <c r="N181" s="75"/>
      <c r="O181" s="75"/>
    </row>
    <row r="182" spans="1:15" s="92" customFormat="1">
      <c r="A182" s="71" t="s">
        <v>676</v>
      </c>
      <c r="B182" s="90"/>
      <c r="C182" s="73" t="s">
        <v>632</v>
      </c>
      <c r="D182" s="91"/>
      <c r="E182" s="91"/>
      <c r="F182" s="89"/>
      <c r="G182" s="89"/>
      <c r="H182" s="89"/>
      <c r="I182" s="89"/>
      <c r="J182" s="89"/>
      <c r="K182" s="89"/>
      <c r="L182" s="89"/>
      <c r="M182" s="89"/>
      <c r="N182" s="89"/>
      <c r="O182" s="89"/>
    </row>
    <row r="183" spans="1:15" s="92" customFormat="1">
      <c r="A183" s="89"/>
      <c r="B183" s="93"/>
      <c r="C183" s="73" t="s">
        <v>677</v>
      </c>
      <c r="D183" s="91"/>
      <c r="E183" s="91"/>
      <c r="F183" s="89"/>
      <c r="G183" s="89"/>
      <c r="H183" s="89"/>
      <c r="I183" s="89"/>
      <c r="K183" s="89"/>
      <c r="L183" s="89"/>
      <c r="M183" s="89"/>
      <c r="N183" s="89"/>
      <c r="O183" s="89"/>
    </row>
    <row r="184" spans="1:15" s="92" customFormat="1">
      <c r="A184" s="89"/>
      <c r="B184" s="93"/>
      <c r="C184" s="94" t="s">
        <v>678</v>
      </c>
      <c r="D184" s="91"/>
      <c r="E184" s="91"/>
      <c r="F184" s="89"/>
      <c r="G184" s="89"/>
      <c r="H184" s="89"/>
      <c r="I184" s="89"/>
      <c r="J184" s="89"/>
      <c r="K184" s="89"/>
      <c r="L184" s="89"/>
      <c r="M184" s="89"/>
      <c r="N184" s="89"/>
      <c r="O184" s="89"/>
    </row>
    <row r="185" spans="1:15" s="92" customFormat="1" ht="30">
      <c r="A185" s="89"/>
      <c r="B185" s="1">
        <v>151</v>
      </c>
      <c r="C185" s="88" t="s">
        <v>634</v>
      </c>
      <c r="D185" s="88" t="s">
        <v>635</v>
      </c>
      <c r="E185" s="88" t="s">
        <v>636</v>
      </c>
      <c r="F185" s="89"/>
      <c r="G185" s="75" t="s">
        <v>334</v>
      </c>
      <c r="H185" s="75" t="s">
        <v>341</v>
      </c>
      <c r="I185" s="75" t="s">
        <v>76</v>
      </c>
      <c r="J185" s="89"/>
      <c r="K185" s="89" t="s">
        <v>1203</v>
      </c>
      <c r="L185" s="89" t="s">
        <v>336</v>
      </c>
      <c r="M185" s="75"/>
      <c r="N185" s="89"/>
      <c r="O185" s="89"/>
    </row>
    <row r="186" spans="1:15" s="92" customFormat="1" ht="30">
      <c r="A186" s="89"/>
      <c r="B186" s="1">
        <v>152</v>
      </c>
      <c r="C186" s="95" t="s">
        <v>639</v>
      </c>
      <c r="D186" s="91" t="s">
        <v>640</v>
      </c>
      <c r="E186" s="91" t="s">
        <v>641</v>
      </c>
      <c r="F186" s="75"/>
      <c r="G186" s="89" t="s">
        <v>334</v>
      </c>
      <c r="H186" s="89" t="s">
        <v>341</v>
      </c>
      <c r="I186" s="75" t="s">
        <v>76</v>
      </c>
      <c r="J186" s="75"/>
      <c r="K186" s="75" t="s">
        <v>1204</v>
      </c>
      <c r="L186" s="75" t="s">
        <v>336</v>
      </c>
      <c r="M186" s="89"/>
      <c r="N186" s="89"/>
      <c r="O186" s="89"/>
    </row>
    <row r="187" spans="1:15" s="92" customFormat="1">
      <c r="A187" s="89"/>
      <c r="B187" s="96"/>
      <c r="C187" s="94" t="s">
        <v>642</v>
      </c>
      <c r="D187" s="91"/>
      <c r="E187" s="91"/>
      <c r="F187" s="89"/>
      <c r="G187" s="89"/>
      <c r="H187" s="89"/>
      <c r="I187" s="89"/>
      <c r="J187" s="89"/>
      <c r="K187" s="89"/>
      <c r="L187" s="89"/>
      <c r="M187" s="89"/>
      <c r="N187" s="89"/>
      <c r="O187" s="89"/>
    </row>
    <row r="188" spans="1:15" s="92" customFormat="1" ht="30">
      <c r="A188" s="89"/>
      <c r="B188" s="1">
        <v>153</v>
      </c>
      <c r="C188" s="95" t="s">
        <v>643</v>
      </c>
      <c r="D188" s="91" t="s">
        <v>644</v>
      </c>
      <c r="E188" s="91" t="s">
        <v>679</v>
      </c>
      <c r="F188" s="75"/>
      <c r="G188" s="89" t="s">
        <v>334</v>
      </c>
      <c r="H188" s="89" t="s">
        <v>341</v>
      </c>
      <c r="I188" s="75" t="s">
        <v>76</v>
      </c>
      <c r="J188" s="75"/>
      <c r="K188" s="75" t="s">
        <v>1204</v>
      </c>
      <c r="L188" s="75" t="s">
        <v>336</v>
      </c>
      <c r="M188" s="89"/>
      <c r="N188" s="89"/>
      <c r="O188" s="89"/>
    </row>
    <row r="189" spans="1:15" s="92" customFormat="1" ht="30">
      <c r="A189" s="89"/>
      <c r="B189" s="1">
        <v>154</v>
      </c>
      <c r="C189" s="95" t="s">
        <v>646</v>
      </c>
      <c r="D189" s="91" t="s">
        <v>647</v>
      </c>
      <c r="E189" s="91" t="s">
        <v>648</v>
      </c>
      <c r="F189" s="75"/>
      <c r="G189" s="89" t="s">
        <v>334</v>
      </c>
      <c r="H189" s="89" t="s">
        <v>341</v>
      </c>
      <c r="I189" s="75" t="s">
        <v>76</v>
      </c>
      <c r="J189" s="75"/>
      <c r="K189" s="75" t="s">
        <v>1204</v>
      </c>
      <c r="L189" s="75" t="s">
        <v>336</v>
      </c>
      <c r="M189" s="89"/>
      <c r="N189" s="89"/>
      <c r="O189" s="89"/>
    </row>
    <row r="190" spans="1:15" s="92" customFormat="1" ht="30">
      <c r="A190" s="89"/>
      <c r="B190" s="1">
        <v>155</v>
      </c>
      <c r="C190" s="95" t="s">
        <v>649</v>
      </c>
      <c r="D190" s="91"/>
      <c r="E190" s="91" t="s">
        <v>650</v>
      </c>
      <c r="F190" s="75"/>
      <c r="G190" s="89" t="s">
        <v>334</v>
      </c>
      <c r="H190" s="89" t="s">
        <v>341</v>
      </c>
      <c r="I190" s="75" t="s">
        <v>76</v>
      </c>
      <c r="J190" s="75"/>
      <c r="K190" s="75" t="s">
        <v>1204</v>
      </c>
      <c r="L190" s="75" t="s">
        <v>336</v>
      </c>
      <c r="M190" s="89"/>
      <c r="N190" s="89"/>
      <c r="O190" s="89"/>
    </row>
    <row r="191" spans="1:15" s="92" customFormat="1" ht="30">
      <c r="A191" s="89"/>
      <c r="B191" s="1">
        <v>156</v>
      </c>
      <c r="C191" s="95" t="s">
        <v>639</v>
      </c>
      <c r="D191" s="91" t="s">
        <v>640</v>
      </c>
      <c r="E191" s="91" t="s">
        <v>641</v>
      </c>
      <c r="F191" s="75"/>
      <c r="G191" s="89" t="s">
        <v>334</v>
      </c>
      <c r="H191" s="89" t="s">
        <v>341</v>
      </c>
      <c r="I191" s="75" t="s">
        <v>76</v>
      </c>
      <c r="J191" s="75"/>
      <c r="K191" s="75" t="s">
        <v>1204</v>
      </c>
      <c r="L191" s="75" t="s">
        <v>336</v>
      </c>
      <c r="M191" s="89"/>
      <c r="N191" s="89"/>
      <c r="O191" s="89"/>
    </row>
    <row r="192" spans="1:15" s="92" customFormat="1">
      <c r="A192" s="89"/>
      <c r="B192" s="96"/>
      <c r="C192" s="94" t="s">
        <v>651</v>
      </c>
      <c r="D192" s="91"/>
      <c r="E192" s="91"/>
      <c r="F192" s="89"/>
      <c r="G192" s="89"/>
      <c r="H192" s="89"/>
      <c r="I192" s="89"/>
      <c r="J192" s="89"/>
      <c r="K192" s="89"/>
      <c r="L192" s="89"/>
      <c r="M192" s="89"/>
      <c r="N192" s="89"/>
      <c r="O192" s="89"/>
    </row>
    <row r="193" spans="1:15" s="92" customFormat="1">
      <c r="A193" s="89"/>
      <c r="B193" s="1">
        <v>157</v>
      </c>
      <c r="C193" s="95" t="s">
        <v>652</v>
      </c>
      <c r="D193" s="91" t="s">
        <v>653</v>
      </c>
      <c r="E193" s="91" t="s">
        <v>1188</v>
      </c>
      <c r="F193" s="75"/>
      <c r="G193" s="89" t="s">
        <v>334</v>
      </c>
      <c r="H193" s="89" t="s">
        <v>341</v>
      </c>
      <c r="I193" s="75" t="s">
        <v>76</v>
      </c>
      <c r="J193" s="75"/>
      <c r="K193" s="75" t="s">
        <v>1204</v>
      </c>
      <c r="L193" s="75" t="s">
        <v>336</v>
      </c>
      <c r="M193" s="89"/>
      <c r="N193" s="89"/>
      <c r="O193" s="89"/>
    </row>
    <row r="194" spans="1:15" s="92" customFormat="1" ht="30">
      <c r="A194" s="89"/>
      <c r="B194" s="1">
        <v>158</v>
      </c>
      <c r="C194" s="95" t="s">
        <v>654</v>
      </c>
      <c r="D194" s="91" t="s">
        <v>655</v>
      </c>
      <c r="E194" s="91" t="s">
        <v>656</v>
      </c>
      <c r="F194" s="75"/>
      <c r="G194" s="89" t="s">
        <v>334</v>
      </c>
      <c r="H194" s="89" t="s">
        <v>341</v>
      </c>
      <c r="I194" s="75" t="s">
        <v>76</v>
      </c>
      <c r="J194" s="75"/>
      <c r="K194" s="75" t="s">
        <v>1204</v>
      </c>
      <c r="L194" s="75" t="s">
        <v>336</v>
      </c>
      <c r="M194" s="89"/>
      <c r="N194" s="89"/>
      <c r="O194" s="89"/>
    </row>
    <row r="195" spans="1:15" s="92" customFormat="1" ht="45">
      <c r="A195" s="89"/>
      <c r="B195" s="1">
        <v>159</v>
      </c>
      <c r="C195" s="95" t="s">
        <v>657</v>
      </c>
      <c r="D195" s="91" t="s">
        <v>658</v>
      </c>
      <c r="E195" s="91" t="s">
        <v>680</v>
      </c>
      <c r="F195" s="75"/>
      <c r="G195" s="89" t="s">
        <v>334</v>
      </c>
      <c r="H195" s="89" t="s">
        <v>341</v>
      </c>
      <c r="I195" s="75" t="s">
        <v>76</v>
      </c>
      <c r="J195" s="75"/>
      <c r="K195" s="75" t="s">
        <v>1204</v>
      </c>
      <c r="L195" s="75" t="s">
        <v>336</v>
      </c>
      <c r="M195" s="89"/>
      <c r="N195" s="89"/>
      <c r="O195" s="89"/>
    </row>
    <row r="196" spans="1:15" s="92" customFormat="1">
      <c r="A196" s="89"/>
      <c r="B196" s="1">
        <v>160</v>
      </c>
      <c r="C196" s="95" t="s">
        <v>660</v>
      </c>
      <c r="D196" s="91" t="s">
        <v>661</v>
      </c>
      <c r="E196" s="91" t="s">
        <v>662</v>
      </c>
      <c r="F196" s="75"/>
      <c r="G196" s="89" t="s">
        <v>334</v>
      </c>
      <c r="H196" s="89" t="s">
        <v>341</v>
      </c>
      <c r="I196" s="75" t="s">
        <v>76</v>
      </c>
      <c r="J196" s="75"/>
      <c r="K196" s="75" t="s">
        <v>1204</v>
      </c>
      <c r="L196" s="75" t="s">
        <v>336</v>
      </c>
      <c r="M196" s="89"/>
      <c r="N196" s="89"/>
      <c r="O196" s="89"/>
    </row>
    <row r="197" spans="1:15" s="92" customFormat="1" ht="30">
      <c r="A197" s="89"/>
      <c r="B197" s="1">
        <v>161</v>
      </c>
      <c r="C197" s="95" t="s">
        <v>639</v>
      </c>
      <c r="D197" s="91" t="s">
        <v>640</v>
      </c>
      <c r="E197" s="91" t="s">
        <v>641</v>
      </c>
      <c r="F197" s="75"/>
      <c r="G197" s="89" t="s">
        <v>334</v>
      </c>
      <c r="H197" s="89" t="s">
        <v>341</v>
      </c>
      <c r="I197" s="75" t="s">
        <v>76</v>
      </c>
      <c r="J197" s="75"/>
      <c r="K197" s="75" t="s">
        <v>1204</v>
      </c>
      <c r="L197" s="75" t="s">
        <v>336</v>
      </c>
      <c r="M197" s="89"/>
      <c r="N197" s="89"/>
      <c r="O197" s="89"/>
    </row>
    <row r="198" spans="1:15" s="92" customFormat="1">
      <c r="A198" s="89"/>
      <c r="B198" s="96"/>
      <c r="C198" s="73" t="s">
        <v>663</v>
      </c>
      <c r="D198" s="91"/>
      <c r="E198" s="91"/>
      <c r="F198" s="89"/>
      <c r="G198" s="89"/>
      <c r="H198" s="89"/>
      <c r="I198" s="89"/>
      <c r="J198" s="89"/>
      <c r="K198" s="89"/>
      <c r="L198" s="89"/>
      <c r="M198" s="89"/>
      <c r="N198" s="89"/>
      <c r="O198" s="89"/>
    </row>
    <row r="199" spans="1:15" s="92" customFormat="1" ht="30">
      <c r="A199" s="89"/>
      <c r="B199" s="1">
        <v>162</v>
      </c>
      <c r="C199" s="95" t="s">
        <v>681</v>
      </c>
      <c r="D199" s="91" t="s">
        <v>665</v>
      </c>
      <c r="E199" s="91" t="s">
        <v>682</v>
      </c>
      <c r="F199" s="89"/>
      <c r="G199" s="89" t="s">
        <v>334</v>
      </c>
      <c r="H199" s="89" t="s">
        <v>341</v>
      </c>
      <c r="I199" s="89" t="s">
        <v>76</v>
      </c>
      <c r="J199" s="89"/>
      <c r="K199" s="89" t="s">
        <v>1203</v>
      </c>
      <c r="L199" s="89" t="s">
        <v>336</v>
      </c>
      <c r="M199" s="89"/>
      <c r="N199" s="89"/>
      <c r="O199" s="89"/>
    </row>
    <row r="200" spans="1:15" s="92" customFormat="1" ht="30">
      <c r="A200" s="89"/>
      <c r="B200" s="1">
        <v>163</v>
      </c>
      <c r="C200" s="95" t="s">
        <v>667</v>
      </c>
      <c r="D200" s="91"/>
      <c r="E200" s="91" t="s">
        <v>668</v>
      </c>
      <c r="F200" s="89"/>
      <c r="G200" s="89" t="s">
        <v>334</v>
      </c>
      <c r="H200" s="89" t="s">
        <v>341</v>
      </c>
      <c r="I200" s="89" t="s">
        <v>76</v>
      </c>
      <c r="J200" s="89"/>
      <c r="K200" s="89" t="s">
        <v>1203</v>
      </c>
      <c r="L200" s="89" t="s">
        <v>336</v>
      </c>
      <c r="M200" s="89"/>
      <c r="N200" s="89"/>
      <c r="O200" s="89"/>
    </row>
    <row r="201" spans="1:15" s="92" customFormat="1" ht="45">
      <c r="A201" s="89"/>
      <c r="B201" s="1">
        <v>164</v>
      </c>
      <c r="C201" s="95" t="s">
        <v>669</v>
      </c>
      <c r="D201" s="89" t="s">
        <v>670</v>
      </c>
      <c r="E201" s="91" t="s">
        <v>671</v>
      </c>
      <c r="F201" s="89"/>
      <c r="G201" s="89" t="s">
        <v>334</v>
      </c>
      <c r="H201" s="89" t="s">
        <v>341</v>
      </c>
      <c r="I201" s="89" t="s">
        <v>76</v>
      </c>
      <c r="J201" s="89"/>
      <c r="K201" s="89" t="s">
        <v>1203</v>
      </c>
      <c r="L201" s="89" t="s">
        <v>336</v>
      </c>
      <c r="M201" s="89"/>
      <c r="N201" s="89"/>
      <c r="O201" s="89"/>
    </row>
    <row r="202" spans="1:15" s="92" customFormat="1" ht="30">
      <c r="A202" s="89"/>
      <c r="B202" s="1">
        <v>165</v>
      </c>
      <c r="C202" s="95" t="s">
        <v>672</v>
      </c>
      <c r="D202" s="91"/>
      <c r="E202" s="91" t="s">
        <v>673</v>
      </c>
      <c r="F202" s="75"/>
      <c r="G202" s="89" t="s">
        <v>334</v>
      </c>
      <c r="H202" s="89" t="s">
        <v>341</v>
      </c>
      <c r="I202" s="75" t="s">
        <v>76</v>
      </c>
      <c r="J202" s="75"/>
      <c r="K202" s="75" t="s">
        <v>1204</v>
      </c>
      <c r="L202" s="75" t="s">
        <v>336</v>
      </c>
      <c r="M202" s="89"/>
      <c r="N202" s="89"/>
      <c r="O202" s="89"/>
    </row>
    <row r="203" spans="1:15" s="92" customFormat="1" ht="36.75" customHeight="1">
      <c r="A203" s="89"/>
      <c r="B203" s="1">
        <v>166</v>
      </c>
      <c r="C203" s="95" t="s">
        <v>674</v>
      </c>
      <c r="D203" s="89" t="s">
        <v>675</v>
      </c>
      <c r="E203" s="91" t="s">
        <v>671</v>
      </c>
      <c r="F203" s="75"/>
      <c r="G203" s="89" t="s">
        <v>334</v>
      </c>
      <c r="H203" s="89" t="s">
        <v>341</v>
      </c>
      <c r="I203" s="75" t="s">
        <v>76</v>
      </c>
      <c r="J203" s="75"/>
      <c r="K203" s="75" t="s">
        <v>1204</v>
      </c>
      <c r="L203" s="75" t="s">
        <v>336</v>
      </c>
      <c r="M203" s="89"/>
      <c r="N203" s="89"/>
      <c r="O203" s="89"/>
    </row>
    <row r="204" spans="1:15" s="92" customFormat="1" ht="30">
      <c r="A204" s="71" t="s">
        <v>683</v>
      </c>
      <c r="B204" s="96"/>
      <c r="C204" s="73" t="s">
        <v>684</v>
      </c>
      <c r="D204" s="91"/>
      <c r="E204" s="91"/>
      <c r="F204" s="89"/>
      <c r="G204" s="89"/>
      <c r="H204" s="89"/>
      <c r="I204" s="89"/>
      <c r="J204" s="89" t="s">
        <v>1189</v>
      </c>
      <c r="K204" s="89"/>
      <c r="L204" s="89"/>
      <c r="M204" s="89"/>
      <c r="N204" s="89"/>
      <c r="O204" s="89"/>
    </row>
    <row r="205" spans="1:15" s="92" customFormat="1" ht="30">
      <c r="A205" s="89"/>
      <c r="B205" s="1">
        <v>167</v>
      </c>
      <c r="C205" s="95" t="s">
        <v>685</v>
      </c>
      <c r="D205" s="91"/>
      <c r="E205" s="91" t="s">
        <v>686</v>
      </c>
      <c r="F205" s="89"/>
      <c r="G205" s="89" t="s">
        <v>334</v>
      </c>
      <c r="H205" s="89" t="s">
        <v>335</v>
      </c>
      <c r="I205" s="89" t="s">
        <v>76</v>
      </c>
      <c r="K205" s="89" t="s">
        <v>1203</v>
      </c>
      <c r="L205" s="89" t="s">
        <v>336</v>
      </c>
      <c r="M205" s="89"/>
      <c r="N205" s="89"/>
      <c r="O205" s="89"/>
    </row>
    <row r="206" spans="1:15" s="92" customFormat="1">
      <c r="A206" s="89"/>
      <c r="B206" s="96"/>
      <c r="C206" s="94" t="s">
        <v>678</v>
      </c>
      <c r="D206" s="60"/>
      <c r="E206" s="60"/>
      <c r="F206" s="60"/>
      <c r="G206" s="60"/>
      <c r="H206" s="60"/>
      <c r="I206" s="60"/>
      <c r="J206" s="60"/>
      <c r="K206" s="89"/>
      <c r="L206" s="89"/>
      <c r="M206" s="89"/>
      <c r="N206" s="89"/>
      <c r="O206" s="89"/>
    </row>
    <row r="207" spans="1:15" s="92" customFormat="1" ht="30">
      <c r="A207" s="89"/>
      <c r="B207" s="1">
        <v>168</v>
      </c>
      <c r="C207" s="95" t="s">
        <v>687</v>
      </c>
      <c r="D207" s="60"/>
      <c r="E207" s="60" t="s">
        <v>688</v>
      </c>
      <c r="F207" s="60"/>
      <c r="G207" s="60" t="s">
        <v>334</v>
      </c>
      <c r="H207" s="60" t="s">
        <v>341</v>
      </c>
      <c r="I207" s="60" t="s">
        <v>76</v>
      </c>
      <c r="J207" s="60"/>
      <c r="K207" s="89" t="s">
        <v>1203</v>
      </c>
      <c r="L207" s="89" t="s">
        <v>336</v>
      </c>
      <c r="M207" s="89"/>
      <c r="N207" s="89"/>
      <c r="O207" s="89"/>
    </row>
    <row r="208" spans="1:15" s="92" customFormat="1" ht="45">
      <c r="A208" s="89"/>
      <c r="B208" s="1">
        <v>169</v>
      </c>
      <c r="C208" s="95" t="s">
        <v>689</v>
      </c>
      <c r="D208" s="60"/>
      <c r="E208" s="60" t="s">
        <v>690</v>
      </c>
      <c r="F208" s="75"/>
      <c r="G208" s="60" t="s">
        <v>437</v>
      </c>
      <c r="H208" s="60" t="s">
        <v>341</v>
      </c>
      <c r="I208" s="75" t="s">
        <v>76</v>
      </c>
      <c r="J208" s="75"/>
      <c r="K208" s="75" t="s">
        <v>1204</v>
      </c>
      <c r="L208" s="75" t="s">
        <v>336</v>
      </c>
      <c r="M208" s="89"/>
      <c r="N208" s="89"/>
      <c r="O208" s="89"/>
    </row>
    <row r="209" spans="1:15" s="92" customFormat="1" ht="45">
      <c r="A209" s="89"/>
      <c r="B209" s="1">
        <v>170</v>
      </c>
      <c r="C209" s="95" t="s">
        <v>691</v>
      </c>
      <c r="D209" s="60"/>
      <c r="E209" s="60" t="s">
        <v>692</v>
      </c>
      <c r="F209" s="60"/>
      <c r="G209" s="60" t="s">
        <v>437</v>
      </c>
      <c r="H209" s="60" t="s">
        <v>341</v>
      </c>
      <c r="I209" s="60" t="s">
        <v>76</v>
      </c>
      <c r="J209" s="60"/>
      <c r="K209" s="89" t="s">
        <v>1203</v>
      </c>
      <c r="L209" s="89" t="s">
        <v>336</v>
      </c>
      <c r="M209" s="89"/>
      <c r="N209" s="89"/>
      <c r="O209" s="89"/>
    </row>
    <row r="210" spans="1:15" s="92" customFormat="1" ht="45">
      <c r="A210" s="89"/>
      <c r="B210" s="1">
        <v>171</v>
      </c>
      <c r="C210" s="95" t="s">
        <v>693</v>
      </c>
      <c r="D210" s="60"/>
      <c r="E210" s="60" t="s">
        <v>694</v>
      </c>
      <c r="F210" s="60"/>
      <c r="G210" s="60" t="s">
        <v>334</v>
      </c>
      <c r="H210" s="60" t="s">
        <v>341</v>
      </c>
      <c r="I210" s="60" t="s">
        <v>76</v>
      </c>
      <c r="J210" s="60"/>
      <c r="K210" s="89" t="s">
        <v>1203</v>
      </c>
      <c r="L210" s="89" t="s">
        <v>336</v>
      </c>
      <c r="M210" s="89"/>
      <c r="N210" s="89"/>
      <c r="O210" s="89"/>
    </row>
    <row r="211" spans="1:15" s="92" customFormat="1" ht="30">
      <c r="A211" s="89"/>
      <c r="B211" s="1">
        <v>172</v>
      </c>
      <c r="C211" s="95" t="s">
        <v>695</v>
      </c>
      <c r="D211" s="60"/>
      <c r="E211" s="60" t="s">
        <v>696</v>
      </c>
      <c r="F211" s="75"/>
      <c r="G211" s="60" t="s">
        <v>334</v>
      </c>
      <c r="H211" s="60" t="s">
        <v>341</v>
      </c>
      <c r="I211" s="75" t="s">
        <v>76</v>
      </c>
      <c r="J211" s="75"/>
      <c r="K211" s="75" t="s">
        <v>1204</v>
      </c>
      <c r="L211" s="75" t="s">
        <v>336</v>
      </c>
      <c r="M211" s="89"/>
      <c r="N211" s="89"/>
      <c r="O211" s="89"/>
    </row>
    <row r="212" spans="1:15" s="92" customFormat="1">
      <c r="A212" s="89"/>
      <c r="B212" s="96"/>
      <c r="C212" s="94" t="s">
        <v>697</v>
      </c>
      <c r="D212" s="60"/>
      <c r="E212" s="60"/>
      <c r="F212" s="60"/>
      <c r="G212" s="60"/>
      <c r="H212" s="60"/>
      <c r="I212" s="60"/>
      <c r="J212" s="60"/>
      <c r="K212" s="89"/>
      <c r="L212" s="89"/>
      <c r="M212" s="89"/>
      <c r="N212" s="89"/>
      <c r="O212" s="89"/>
    </row>
    <row r="213" spans="1:15" s="92" customFormat="1" ht="45">
      <c r="A213" s="89"/>
      <c r="B213" s="1">
        <v>173</v>
      </c>
      <c r="C213" s="95" t="s">
        <v>698</v>
      </c>
      <c r="D213" s="60"/>
      <c r="E213" s="60" t="s">
        <v>699</v>
      </c>
      <c r="F213" s="75"/>
      <c r="G213" s="60" t="s">
        <v>334</v>
      </c>
      <c r="H213" s="60" t="s">
        <v>341</v>
      </c>
      <c r="I213" s="75" t="s">
        <v>76</v>
      </c>
      <c r="J213" s="75"/>
      <c r="K213" s="75" t="s">
        <v>1204</v>
      </c>
      <c r="L213" s="75" t="s">
        <v>336</v>
      </c>
      <c r="M213" s="89"/>
      <c r="N213" s="89"/>
      <c r="O213" s="89"/>
    </row>
    <row r="214" spans="1:15" s="92" customFormat="1" ht="45">
      <c r="A214" s="89"/>
      <c r="B214" s="1">
        <v>174</v>
      </c>
      <c r="C214" s="95" t="s">
        <v>689</v>
      </c>
      <c r="D214" s="60"/>
      <c r="E214" s="60" t="s">
        <v>700</v>
      </c>
      <c r="F214" s="75"/>
      <c r="G214" s="60" t="s">
        <v>437</v>
      </c>
      <c r="H214" s="60" t="s">
        <v>341</v>
      </c>
      <c r="I214" s="75" t="s">
        <v>76</v>
      </c>
      <c r="J214" s="75"/>
      <c r="K214" s="75" t="s">
        <v>1204</v>
      </c>
      <c r="L214" s="75" t="s">
        <v>336</v>
      </c>
      <c r="M214" s="89"/>
      <c r="N214" s="89"/>
      <c r="O214" s="89"/>
    </row>
    <row r="215" spans="1:15" s="92" customFormat="1" ht="45">
      <c r="A215" s="89"/>
      <c r="B215" s="1">
        <v>175</v>
      </c>
      <c r="C215" s="95" t="s">
        <v>691</v>
      </c>
      <c r="D215" s="60"/>
      <c r="E215" s="60" t="s">
        <v>692</v>
      </c>
      <c r="F215" s="75"/>
      <c r="G215" s="60" t="s">
        <v>701</v>
      </c>
      <c r="H215" s="60" t="s">
        <v>341</v>
      </c>
      <c r="I215" s="75" t="s">
        <v>76</v>
      </c>
      <c r="J215" s="75"/>
      <c r="K215" s="75" t="s">
        <v>1204</v>
      </c>
      <c r="L215" s="75" t="s">
        <v>336</v>
      </c>
      <c r="M215" s="89"/>
      <c r="N215" s="89"/>
      <c r="O215" s="89"/>
    </row>
    <row r="216" spans="1:15" s="92" customFormat="1" ht="45">
      <c r="A216" s="89"/>
      <c r="B216" s="1">
        <v>176</v>
      </c>
      <c r="C216" s="95" t="s">
        <v>693</v>
      </c>
      <c r="D216" s="60"/>
      <c r="E216" s="60" t="s">
        <v>694</v>
      </c>
      <c r="F216" s="75"/>
      <c r="G216" s="60" t="s">
        <v>334</v>
      </c>
      <c r="H216" s="60" t="s">
        <v>341</v>
      </c>
      <c r="I216" s="75" t="s">
        <v>76</v>
      </c>
      <c r="J216" s="75"/>
      <c r="K216" s="75" t="s">
        <v>1204</v>
      </c>
      <c r="L216" s="75" t="s">
        <v>336</v>
      </c>
      <c r="M216" s="89"/>
      <c r="N216" s="89"/>
      <c r="O216" s="89"/>
    </row>
    <row r="217" spans="1:15" s="92" customFormat="1">
      <c r="A217" s="89"/>
      <c r="B217" s="96"/>
      <c r="C217" s="94" t="s">
        <v>702</v>
      </c>
      <c r="D217" s="60"/>
      <c r="E217" s="60"/>
      <c r="F217" s="60"/>
      <c r="G217" s="60"/>
      <c r="H217" s="60"/>
      <c r="I217" s="60"/>
      <c r="J217" s="60"/>
      <c r="K217" s="89"/>
      <c r="L217" s="89"/>
      <c r="M217" s="89"/>
      <c r="N217" s="89"/>
      <c r="O217" s="89"/>
    </row>
    <row r="218" spans="1:15" s="92" customFormat="1" ht="60">
      <c r="A218" s="89"/>
      <c r="B218" s="1">
        <v>177</v>
      </c>
      <c r="C218" s="97" t="s">
        <v>703</v>
      </c>
      <c r="D218" s="60"/>
      <c r="E218" s="60" t="s">
        <v>704</v>
      </c>
      <c r="F218" s="75"/>
      <c r="G218" s="60" t="s">
        <v>334</v>
      </c>
      <c r="H218" s="60" t="s">
        <v>341</v>
      </c>
      <c r="I218" s="75" t="s">
        <v>76</v>
      </c>
      <c r="J218" s="75"/>
      <c r="K218" s="75" t="s">
        <v>1204</v>
      </c>
      <c r="L218" s="75" t="s">
        <v>336</v>
      </c>
      <c r="M218" s="89"/>
      <c r="N218" s="89"/>
      <c r="O218" s="89"/>
    </row>
    <row r="219" spans="1:15" s="92" customFormat="1" ht="45">
      <c r="A219" s="89"/>
      <c r="B219" s="1">
        <v>178</v>
      </c>
      <c r="C219" s="97" t="s">
        <v>705</v>
      </c>
      <c r="D219" s="60"/>
      <c r="E219" s="60" t="s">
        <v>706</v>
      </c>
      <c r="F219" s="75"/>
      <c r="G219" s="60" t="s">
        <v>334</v>
      </c>
      <c r="H219" s="60" t="s">
        <v>341</v>
      </c>
      <c r="I219" s="75" t="s">
        <v>76</v>
      </c>
      <c r="J219" s="75"/>
      <c r="K219" s="75" t="s">
        <v>1204</v>
      </c>
      <c r="L219" s="75" t="s">
        <v>336</v>
      </c>
      <c r="M219" s="89"/>
      <c r="N219" s="89"/>
      <c r="O219" s="89"/>
    </row>
    <row r="220" spans="1:15" s="92" customFormat="1" ht="45">
      <c r="A220" s="89"/>
      <c r="B220" s="1">
        <v>179</v>
      </c>
      <c r="C220" s="97" t="s">
        <v>689</v>
      </c>
      <c r="D220" s="60"/>
      <c r="E220" s="60" t="s">
        <v>690</v>
      </c>
      <c r="F220" s="75"/>
      <c r="G220" s="60" t="s">
        <v>437</v>
      </c>
      <c r="H220" s="60" t="s">
        <v>341</v>
      </c>
      <c r="I220" s="75" t="s">
        <v>76</v>
      </c>
      <c r="J220" s="75"/>
      <c r="K220" s="75" t="s">
        <v>1204</v>
      </c>
      <c r="L220" s="75" t="s">
        <v>336</v>
      </c>
      <c r="M220" s="89"/>
      <c r="N220" s="89"/>
      <c r="O220" s="89"/>
    </row>
    <row r="221" spans="1:15" s="92" customFormat="1" ht="45">
      <c r="A221" s="89"/>
      <c r="B221" s="1">
        <v>180</v>
      </c>
      <c r="C221" s="97" t="s">
        <v>691</v>
      </c>
      <c r="D221" s="60"/>
      <c r="E221" s="60" t="s">
        <v>692</v>
      </c>
      <c r="F221" s="75"/>
      <c r="G221" s="60" t="s">
        <v>334</v>
      </c>
      <c r="H221" s="60" t="s">
        <v>341</v>
      </c>
      <c r="I221" s="75" t="s">
        <v>76</v>
      </c>
      <c r="J221" s="75"/>
      <c r="K221" s="75" t="s">
        <v>1204</v>
      </c>
      <c r="L221" s="75" t="s">
        <v>336</v>
      </c>
      <c r="M221" s="89"/>
      <c r="N221" s="89"/>
      <c r="O221" s="89"/>
    </row>
    <row r="222" spans="1:15" s="92" customFormat="1" ht="45">
      <c r="A222" s="89"/>
      <c r="B222" s="1">
        <v>181</v>
      </c>
      <c r="C222" s="97" t="s">
        <v>693</v>
      </c>
      <c r="D222" s="60"/>
      <c r="E222" s="60" t="s">
        <v>694</v>
      </c>
      <c r="F222" s="75"/>
      <c r="G222" s="60" t="s">
        <v>437</v>
      </c>
      <c r="H222" s="60" t="s">
        <v>341</v>
      </c>
      <c r="I222" s="75" t="s">
        <v>76</v>
      </c>
      <c r="J222" s="75"/>
      <c r="K222" s="75" t="s">
        <v>1204</v>
      </c>
      <c r="L222" s="75" t="s">
        <v>336</v>
      </c>
      <c r="M222" s="89"/>
      <c r="N222" s="89"/>
      <c r="O222" s="89"/>
    </row>
    <row r="223" spans="1:15" s="92" customFormat="1" ht="30">
      <c r="A223" s="89"/>
      <c r="B223" s="1">
        <v>182</v>
      </c>
      <c r="C223" s="97" t="s">
        <v>695</v>
      </c>
      <c r="D223" s="60"/>
      <c r="E223" s="60" t="s">
        <v>707</v>
      </c>
      <c r="F223" s="75"/>
      <c r="G223" s="60" t="s">
        <v>437</v>
      </c>
      <c r="H223" s="60" t="s">
        <v>341</v>
      </c>
      <c r="I223" s="75" t="s">
        <v>76</v>
      </c>
      <c r="J223" s="75"/>
      <c r="K223" s="75" t="s">
        <v>1204</v>
      </c>
      <c r="L223" s="75" t="s">
        <v>336</v>
      </c>
      <c r="M223" s="89"/>
      <c r="N223" s="89"/>
      <c r="O223" s="89"/>
    </row>
    <row r="224" spans="1:15" s="92" customFormat="1" ht="30">
      <c r="A224" s="89"/>
      <c r="B224" s="1">
        <v>183</v>
      </c>
      <c r="C224" s="95" t="s">
        <v>708</v>
      </c>
      <c r="D224" s="91"/>
      <c r="E224" s="91" t="s">
        <v>709</v>
      </c>
      <c r="F224" s="75"/>
      <c r="G224" s="89" t="s">
        <v>334</v>
      </c>
      <c r="H224" s="89" t="s">
        <v>710</v>
      </c>
      <c r="I224" s="75" t="s">
        <v>76</v>
      </c>
      <c r="J224" s="75"/>
      <c r="K224" s="75" t="s">
        <v>1204</v>
      </c>
      <c r="L224" s="75" t="s">
        <v>336</v>
      </c>
      <c r="M224" s="89"/>
      <c r="N224" s="89"/>
      <c r="O224" s="89"/>
    </row>
    <row r="225" spans="1:15" s="92" customFormat="1" ht="45">
      <c r="A225" s="89"/>
      <c r="B225" s="1">
        <v>184</v>
      </c>
      <c r="C225" s="95" t="s">
        <v>711</v>
      </c>
      <c r="D225" s="91"/>
      <c r="E225" s="91" t="s">
        <v>712</v>
      </c>
      <c r="F225" s="75"/>
      <c r="G225" s="89" t="s">
        <v>713</v>
      </c>
      <c r="H225" s="89" t="s">
        <v>710</v>
      </c>
      <c r="I225" s="75" t="s">
        <v>76</v>
      </c>
      <c r="J225" s="75"/>
      <c r="K225" s="75" t="s">
        <v>1204</v>
      </c>
      <c r="L225" s="75" t="s">
        <v>336</v>
      </c>
      <c r="M225" s="89"/>
      <c r="N225" s="89"/>
      <c r="O225" s="89"/>
    </row>
    <row r="226" spans="1:15" s="92" customFormat="1" ht="30">
      <c r="A226" s="89"/>
      <c r="B226" s="1">
        <v>185</v>
      </c>
      <c r="C226" s="97" t="s">
        <v>714</v>
      </c>
      <c r="D226" s="60"/>
      <c r="E226" s="60" t="s">
        <v>715</v>
      </c>
      <c r="F226" s="75"/>
      <c r="G226" s="60" t="s">
        <v>334</v>
      </c>
      <c r="H226" s="60" t="s">
        <v>341</v>
      </c>
      <c r="I226" s="75" t="s">
        <v>76</v>
      </c>
      <c r="J226" s="75"/>
      <c r="K226" s="75" t="s">
        <v>1204</v>
      </c>
      <c r="L226" s="75" t="s">
        <v>336</v>
      </c>
      <c r="M226" s="89"/>
      <c r="N226" s="89"/>
      <c r="O226" s="89"/>
    </row>
    <row r="227" spans="1:15">
      <c r="A227" s="75"/>
      <c r="B227" s="71"/>
      <c r="C227" s="98" t="s">
        <v>716</v>
      </c>
      <c r="D227" s="88"/>
      <c r="E227" s="88"/>
      <c r="F227" s="75"/>
      <c r="G227" s="75"/>
      <c r="H227" s="75"/>
      <c r="I227" s="75"/>
      <c r="J227" s="75"/>
      <c r="K227" s="75"/>
      <c r="L227" s="75"/>
      <c r="M227" s="75"/>
      <c r="N227" s="75"/>
      <c r="O227" s="75"/>
    </row>
    <row r="228" spans="1:15">
      <c r="A228" s="75"/>
      <c r="B228" s="71">
        <v>186</v>
      </c>
      <c r="C228" s="88" t="s">
        <v>717</v>
      </c>
      <c r="D228" s="88"/>
      <c r="E228" s="88" t="s">
        <v>1190</v>
      </c>
      <c r="F228" s="75"/>
      <c r="G228" s="75" t="s">
        <v>334</v>
      </c>
      <c r="H228" s="75" t="s">
        <v>341</v>
      </c>
      <c r="I228" s="75" t="s">
        <v>76</v>
      </c>
      <c r="J228" s="75"/>
      <c r="K228" s="75" t="s">
        <v>1203</v>
      </c>
      <c r="L228" s="75" t="s">
        <v>336</v>
      </c>
      <c r="M228" s="75"/>
      <c r="N228" s="75"/>
      <c r="O228" s="75"/>
    </row>
    <row r="229" spans="1:15" ht="30">
      <c r="A229" s="75"/>
      <c r="B229" s="71">
        <v>187</v>
      </c>
      <c r="C229" s="88" t="s">
        <v>718</v>
      </c>
      <c r="D229" s="88" t="s">
        <v>1191</v>
      </c>
      <c r="E229" s="88" t="s">
        <v>719</v>
      </c>
      <c r="F229" s="75"/>
      <c r="G229" s="75" t="s">
        <v>334</v>
      </c>
      <c r="H229" s="75" t="s">
        <v>341</v>
      </c>
      <c r="I229" s="75" t="s">
        <v>76</v>
      </c>
      <c r="J229" s="75"/>
      <c r="K229" s="75" t="s">
        <v>1203</v>
      </c>
      <c r="L229" s="75" t="s">
        <v>336</v>
      </c>
      <c r="M229" s="75"/>
      <c r="N229" s="75"/>
      <c r="O229" s="75"/>
    </row>
    <row r="230" spans="1:15">
      <c r="A230" s="75"/>
      <c r="B230" s="71"/>
      <c r="C230" s="98" t="s">
        <v>720</v>
      </c>
      <c r="D230" s="88"/>
      <c r="E230" s="88"/>
      <c r="F230" s="75"/>
      <c r="G230" s="75"/>
      <c r="H230" s="75"/>
      <c r="I230" s="75"/>
      <c r="J230" s="75"/>
      <c r="K230" s="75"/>
      <c r="L230" s="75"/>
      <c r="M230" s="75"/>
      <c r="N230" s="75"/>
      <c r="O230" s="75"/>
    </row>
    <row r="231" spans="1:15" ht="30">
      <c r="A231" s="75"/>
      <c r="B231" s="71">
        <v>188</v>
      </c>
      <c r="C231" s="88" t="s">
        <v>721</v>
      </c>
      <c r="D231" s="88"/>
      <c r="E231" s="88" t="s">
        <v>722</v>
      </c>
      <c r="F231" s="75"/>
      <c r="G231" s="75" t="s">
        <v>334</v>
      </c>
      <c r="H231" s="75" t="s">
        <v>341</v>
      </c>
      <c r="I231" s="75" t="s">
        <v>76</v>
      </c>
      <c r="J231" s="75"/>
      <c r="K231" s="75" t="s">
        <v>1203</v>
      </c>
      <c r="L231" s="75" t="s">
        <v>336</v>
      </c>
      <c r="M231" s="75"/>
      <c r="N231" s="75"/>
      <c r="O231" s="75"/>
    </row>
    <row r="232" spans="1:15" ht="30">
      <c r="A232" s="75"/>
      <c r="B232" s="71">
        <v>189</v>
      </c>
      <c r="C232" s="88" t="s">
        <v>723</v>
      </c>
      <c r="D232" s="88" t="s">
        <v>724</v>
      </c>
      <c r="E232" s="88" t="s">
        <v>725</v>
      </c>
      <c r="F232" s="75"/>
      <c r="G232" s="75" t="s">
        <v>334</v>
      </c>
      <c r="H232" s="75" t="s">
        <v>341</v>
      </c>
      <c r="I232" s="75" t="s">
        <v>76</v>
      </c>
      <c r="J232" s="75"/>
      <c r="K232" s="75" t="s">
        <v>1203</v>
      </c>
      <c r="L232" s="75" t="s">
        <v>336</v>
      </c>
      <c r="M232" s="75"/>
      <c r="N232" s="75"/>
      <c r="O232" s="75"/>
    </row>
    <row r="233" spans="1:15" ht="30">
      <c r="A233" s="75"/>
      <c r="B233" s="71">
        <v>190</v>
      </c>
      <c r="C233" s="88" t="s">
        <v>726</v>
      </c>
      <c r="D233" s="88"/>
      <c r="E233" s="88" t="s">
        <v>727</v>
      </c>
      <c r="F233" s="75"/>
      <c r="G233" s="75" t="s">
        <v>334</v>
      </c>
      <c r="H233" s="75" t="s">
        <v>341</v>
      </c>
      <c r="I233" s="75" t="s">
        <v>76</v>
      </c>
      <c r="J233" s="75"/>
      <c r="K233" s="75" t="s">
        <v>1203</v>
      </c>
      <c r="L233" s="75" t="s">
        <v>336</v>
      </c>
      <c r="M233" s="75"/>
      <c r="N233" s="75"/>
      <c r="O233" s="75"/>
    </row>
    <row r="234" spans="1:15">
      <c r="A234" s="75"/>
      <c r="B234" s="71"/>
      <c r="C234" s="98" t="s">
        <v>728</v>
      </c>
      <c r="D234" s="88"/>
      <c r="E234" s="88"/>
      <c r="F234" s="75"/>
      <c r="G234" s="75"/>
      <c r="H234" s="75"/>
      <c r="I234" s="75"/>
      <c r="J234" s="75"/>
      <c r="K234" s="75"/>
      <c r="L234" s="75"/>
      <c r="M234" s="75"/>
      <c r="N234" s="75"/>
      <c r="O234" s="75"/>
    </row>
    <row r="235" spans="1:15" ht="30">
      <c r="A235" s="75"/>
      <c r="B235" s="71">
        <v>191</v>
      </c>
      <c r="C235" s="88" t="s">
        <v>729</v>
      </c>
      <c r="D235" s="88"/>
      <c r="E235" s="88" t="s">
        <v>730</v>
      </c>
      <c r="F235" s="75"/>
      <c r="G235" s="75" t="s">
        <v>334</v>
      </c>
      <c r="H235" s="75" t="s">
        <v>341</v>
      </c>
      <c r="I235" s="75" t="s">
        <v>76</v>
      </c>
      <c r="J235" s="75"/>
      <c r="K235" s="75" t="s">
        <v>1204</v>
      </c>
      <c r="L235" s="75" t="s">
        <v>336</v>
      </c>
      <c r="M235" s="75"/>
      <c r="N235" s="75"/>
      <c r="O235" s="75"/>
    </row>
    <row r="236" spans="1:15" ht="75">
      <c r="A236" s="75"/>
      <c r="B236" s="71">
        <v>192</v>
      </c>
      <c r="C236" s="88" t="s">
        <v>731</v>
      </c>
      <c r="D236" s="88" t="s">
        <v>732</v>
      </c>
      <c r="E236" s="88" t="s">
        <v>733</v>
      </c>
      <c r="F236" s="75"/>
      <c r="G236" s="75" t="s">
        <v>334</v>
      </c>
      <c r="H236" s="75" t="s">
        <v>341</v>
      </c>
      <c r="I236" s="75" t="s">
        <v>76</v>
      </c>
      <c r="J236" s="75"/>
      <c r="K236" s="75" t="s">
        <v>1204</v>
      </c>
      <c r="L236" s="75" t="s">
        <v>336</v>
      </c>
      <c r="M236" s="75"/>
      <c r="N236" s="75"/>
      <c r="O236" s="75"/>
    </row>
    <row r="237" spans="1:15" ht="30">
      <c r="A237" s="75"/>
      <c r="B237" s="71">
        <v>193</v>
      </c>
      <c r="C237" s="88" t="s">
        <v>734</v>
      </c>
      <c r="D237" s="88"/>
      <c r="E237" s="88" t="s">
        <v>735</v>
      </c>
      <c r="F237" s="75"/>
      <c r="G237" s="75" t="s">
        <v>334</v>
      </c>
      <c r="H237" s="75" t="s">
        <v>341</v>
      </c>
      <c r="I237" s="75" t="s">
        <v>76</v>
      </c>
      <c r="J237" s="75"/>
      <c r="K237" s="75" t="s">
        <v>1204</v>
      </c>
      <c r="L237" s="75" t="s">
        <v>336</v>
      </c>
      <c r="M237" s="75"/>
      <c r="N237" s="75"/>
      <c r="O237" s="75"/>
    </row>
    <row r="238" spans="1:15">
      <c r="A238" s="75"/>
      <c r="B238" s="71">
        <v>194</v>
      </c>
      <c r="C238" s="88" t="s">
        <v>736</v>
      </c>
      <c r="D238" s="88"/>
      <c r="E238" s="88" t="s">
        <v>737</v>
      </c>
      <c r="F238" s="75"/>
      <c r="G238" s="75" t="s">
        <v>334</v>
      </c>
      <c r="H238" s="75" t="s">
        <v>341</v>
      </c>
      <c r="I238" s="75" t="s">
        <v>76</v>
      </c>
      <c r="J238" s="75"/>
      <c r="K238" s="75" t="s">
        <v>1204</v>
      </c>
      <c r="L238" s="75" t="s">
        <v>336</v>
      </c>
      <c r="M238" s="75"/>
      <c r="N238" s="75"/>
      <c r="O238" s="75"/>
    </row>
    <row r="239" spans="1:15">
      <c r="A239" s="75"/>
      <c r="B239" s="71"/>
      <c r="C239" s="98" t="s">
        <v>738</v>
      </c>
      <c r="D239" s="88"/>
      <c r="E239" s="88"/>
      <c r="F239" s="75"/>
      <c r="G239" s="75"/>
      <c r="H239" s="75"/>
      <c r="I239" s="75"/>
      <c r="J239" s="75"/>
      <c r="K239" s="75"/>
      <c r="L239" s="75"/>
      <c r="M239" s="75"/>
      <c r="N239" s="75"/>
      <c r="O239" s="75"/>
    </row>
    <row r="240" spans="1:15" ht="30">
      <c r="A240" s="75"/>
      <c r="B240" s="71">
        <v>195</v>
      </c>
      <c r="C240" s="88" t="s">
        <v>739</v>
      </c>
      <c r="D240" s="88"/>
      <c r="E240" s="88" t="s">
        <v>740</v>
      </c>
      <c r="F240" s="75"/>
      <c r="G240" s="75" t="s">
        <v>334</v>
      </c>
      <c r="H240" s="75" t="s">
        <v>341</v>
      </c>
      <c r="I240" s="75" t="s">
        <v>76</v>
      </c>
      <c r="J240" s="75"/>
      <c r="K240" s="75" t="s">
        <v>1203</v>
      </c>
      <c r="L240" s="75" t="s">
        <v>336</v>
      </c>
      <c r="M240" s="75"/>
      <c r="N240" s="75"/>
      <c r="O240" s="75"/>
    </row>
    <row r="241" spans="1:15" ht="30">
      <c r="A241" s="75"/>
      <c r="B241" s="71">
        <v>196</v>
      </c>
      <c r="C241" s="88" t="s">
        <v>741</v>
      </c>
      <c r="D241" s="88"/>
      <c r="E241" s="88" t="s">
        <v>742</v>
      </c>
      <c r="F241" s="75"/>
      <c r="G241" s="75" t="s">
        <v>334</v>
      </c>
      <c r="H241" s="75" t="s">
        <v>341</v>
      </c>
      <c r="I241" s="75" t="s">
        <v>76</v>
      </c>
      <c r="J241" s="75"/>
      <c r="K241" s="75" t="s">
        <v>1203</v>
      </c>
      <c r="L241" s="75" t="s">
        <v>336</v>
      </c>
      <c r="M241" s="75"/>
      <c r="N241" s="75"/>
      <c r="O241" s="75"/>
    </row>
    <row r="242" spans="1:15">
      <c r="A242" s="75" t="s">
        <v>676</v>
      </c>
      <c r="B242" s="71"/>
      <c r="C242" s="99" t="s">
        <v>743</v>
      </c>
      <c r="D242" s="88"/>
      <c r="E242" s="88"/>
      <c r="F242" s="75"/>
      <c r="G242" s="75"/>
      <c r="H242" s="75"/>
      <c r="I242" s="75"/>
      <c r="J242" s="75"/>
      <c r="K242" s="75"/>
      <c r="L242" s="75"/>
      <c r="M242" s="75"/>
      <c r="N242" s="75"/>
      <c r="O242" s="75"/>
    </row>
    <row r="243" spans="1:15" ht="30">
      <c r="A243" s="75"/>
      <c r="B243" s="71">
        <v>197</v>
      </c>
      <c r="C243" s="88" t="s">
        <v>744</v>
      </c>
      <c r="D243" s="88"/>
      <c r="E243" s="88" t="s">
        <v>1192</v>
      </c>
      <c r="F243" s="75"/>
      <c r="G243" s="75" t="s">
        <v>334</v>
      </c>
      <c r="H243" s="75" t="s">
        <v>341</v>
      </c>
      <c r="I243" s="75" t="s">
        <v>76</v>
      </c>
      <c r="J243" s="75"/>
      <c r="K243" s="75" t="s">
        <v>1203</v>
      </c>
      <c r="L243" s="75" t="s">
        <v>336</v>
      </c>
      <c r="M243" s="75"/>
      <c r="N243" s="75"/>
      <c r="O243" s="75"/>
    </row>
    <row r="244" spans="1:15" ht="120">
      <c r="A244" s="75"/>
      <c r="B244" s="71">
        <v>198</v>
      </c>
      <c r="C244" s="88" t="s">
        <v>1193</v>
      </c>
      <c r="D244" s="88" t="s">
        <v>1059</v>
      </c>
      <c r="E244" s="88" t="s">
        <v>1194</v>
      </c>
      <c r="F244" s="75"/>
      <c r="G244" s="75" t="s">
        <v>334</v>
      </c>
      <c r="H244" s="75" t="s">
        <v>335</v>
      </c>
      <c r="I244" s="75" t="s">
        <v>76</v>
      </c>
      <c r="J244" s="75" t="s">
        <v>1187</v>
      </c>
      <c r="K244" s="75" t="s">
        <v>1203</v>
      </c>
      <c r="L244" s="75" t="s">
        <v>336</v>
      </c>
      <c r="M244" s="75"/>
      <c r="N244" s="75"/>
      <c r="O244" s="75"/>
    </row>
    <row r="245" spans="1:15" ht="30">
      <c r="A245" s="75"/>
      <c r="B245" s="71">
        <v>199</v>
      </c>
      <c r="C245" s="88" t="s">
        <v>745</v>
      </c>
      <c r="D245" s="88"/>
      <c r="E245" s="88" t="s">
        <v>746</v>
      </c>
      <c r="F245" s="75"/>
      <c r="G245" s="75" t="s">
        <v>334</v>
      </c>
      <c r="H245" s="75" t="s">
        <v>335</v>
      </c>
      <c r="I245" s="75" t="s">
        <v>76</v>
      </c>
      <c r="J245" s="75"/>
      <c r="K245" s="75" t="s">
        <v>1203</v>
      </c>
      <c r="L245" s="75" t="s">
        <v>336</v>
      </c>
      <c r="M245" s="75"/>
      <c r="N245" s="75"/>
      <c r="O245" s="75"/>
    </row>
    <row r="246" spans="1:15" ht="30">
      <c r="A246" s="75"/>
      <c r="B246" s="71">
        <v>200</v>
      </c>
      <c r="C246" s="88" t="s">
        <v>747</v>
      </c>
      <c r="D246" s="88"/>
      <c r="E246" s="88" t="s">
        <v>748</v>
      </c>
      <c r="F246" s="75"/>
      <c r="G246" s="75" t="s">
        <v>334</v>
      </c>
      <c r="H246" s="75" t="s">
        <v>341</v>
      </c>
      <c r="I246" s="75" t="s">
        <v>76</v>
      </c>
      <c r="J246" s="75"/>
      <c r="K246" s="75" t="s">
        <v>1203</v>
      </c>
      <c r="L246" s="75" t="s">
        <v>336</v>
      </c>
      <c r="M246" s="75"/>
      <c r="N246" s="75"/>
      <c r="O246" s="75"/>
    </row>
    <row r="247" spans="1:15" ht="45">
      <c r="A247" s="75"/>
      <c r="B247" s="71">
        <v>201</v>
      </c>
      <c r="C247" s="88" t="s">
        <v>749</v>
      </c>
      <c r="D247" s="88"/>
      <c r="E247" s="88" t="s">
        <v>750</v>
      </c>
      <c r="F247" s="75"/>
      <c r="G247" s="75" t="s">
        <v>334</v>
      </c>
      <c r="H247" s="75" t="s">
        <v>335</v>
      </c>
      <c r="I247" s="75" t="s">
        <v>76</v>
      </c>
      <c r="J247" s="75"/>
      <c r="K247" s="75" t="s">
        <v>1203</v>
      </c>
      <c r="L247" s="75" t="s">
        <v>336</v>
      </c>
      <c r="M247" s="75"/>
      <c r="N247" s="75"/>
      <c r="O247" s="75"/>
    </row>
    <row r="248" spans="1:15" ht="45">
      <c r="A248" s="75"/>
      <c r="B248" s="71">
        <v>202</v>
      </c>
      <c r="C248" s="88" t="s">
        <v>751</v>
      </c>
      <c r="D248" s="88"/>
      <c r="E248" s="88" t="s">
        <v>752</v>
      </c>
      <c r="F248" s="75"/>
      <c r="G248" s="75" t="s">
        <v>334</v>
      </c>
      <c r="H248" s="75" t="s">
        <v>341</v>
      </c>
      <c r="I248" s="75" t="s">
        <v>76</v>
      </c>
      <c r="J248" s="75"/>
      <c r="K248" s="75" t="s">
        <v>1203</v>
      </c>
      <c r="L248" s="75" t="s">
        <v>336</v>
      </c>
      <c r="M248" s="75"/>
      <c r="N248" s="75"/>
      <c r="O248" s="75"/>
    </row>
    <row r="249" spans="1:15">
      <c r="A249" s="75"/>
      <c r="B249" s="71">
        <v>203</v>
      </c>
      <c r="C249" s="88" t="s">
        <v>753</v>
      </c>
      <c r="D249" s="88" t="s">
        <v>754</v>
      </c>
      <c r="E249" s="88" t="s">
        <v>755</v>
      </c>
      <c r="F249" s="75"/>
      <c r="G249" s="75" t="s">
        <v>334</v>
      </c>
      <c r="H249" s="75" t="s">
        <v>335</v>
      </c>
      <c r="I249" s="75" t="s">
        <v>76</v>
      </c>
      <c r="J249" s="75"/>
      <c r="K249" s="75" t="s">
        <v>1203</v>
      </c>
      <c r="L249" s="75" t="s">
        <v>336</v>
      </c>
      <c r="M249" s="75"/>
      <c r="N249" s="75"/>
      <c r="O249" s="75"/>
    </row>
    <row r="250" spans="1:15" s="83" customFormat="1">
      <c r="A250" s="80"/>
      <c r="B250" s="71">
        <v>204</v>
      </c>
      <c r="C250" s="88" t="s">
        <v>756</v>
      </c>
      <c r="D250" s="88"/>
      <c r="E250" s="88" t="s">
        <v>757</v>
      </c>
      <c r="F250" s="75"/>
      <c r="G250" s="82" t="s">
        <v>334</v>
      </c>
      <c r="H250" s="82" t="s">
        <v>341</v>
      </c>
      <c r="I250" s="75" t="s">
        <v>76</v>
      </c>
      <c r="J250" s="75"/>
      <c r="K250" s="75" t="s">
        <v>1203</v>
      </c>
      <c r="L250" s="75" t="s">
        <v>336</v>
      </c>
      <c r="M250" s="81"/>
      <c r="N250" s="100"/>
      <c r="O250" s="75"/>
    </row>
    <row r="251" spans="1:15" ht="30">
      <c r="A251" s="77" t="s">
        <v>683</v>
      </c>
      <c r="B251" s="71"/>
      <c r="C251" s="99" t="s">
        <v>1061</v>
      </c>
      <c r="D251" s="111"/>
      <c r="E251" s="111"/>
      <c r="F251" s="75"/>
      <c r="G251" s="77"/>
      <c r="H251" s="77"/>
      <c r="I251" s="77"/>
      <c r="J251" s="75" t="s">
        <v>1187</v>
      </c>
      <c r="K251" s="77"/>
      <c r="L251" s="77"/>
      <c r="M251" s="77"/>
      <c r="N251" s="77"/>
      <c r="O251" s="77"/>
    </row>
    <row r="252" spans="1:15" ht="26.25">
      <c r="A252" s="77"/>
      <c r="B252" s="71">
        <v>205</v>
      </c>
      <c r="C252" s="112" t="s">
        <v>1062</v>
      </c>
      <c r="D252" s="111"/>
      <c r="E252" s="111" t="s">
        <v>1063</v>
      </c>
      <c r="F252" s="75"/>
      <c r="G252" s="75" t="s">
        <v>334</v>
      </c>
      <c r="H252" s="75" t="s">
        <v>341</v>
      </c>
      <c r="I252" s="75" t="s">
        <v>76</v>
      </c>
      <c r="J252" s="75"/>
      <c r="K252" s="75" t="s">
        <v>1203</v>
      </c>
      <c r="L252" s="75" t="s">
        <v>336</v>
      </c>
      <c r="M252" s="77"/>
      <c r="N252" s="77"/>
      <c r="O252" s="77"/>
    </row>
    <row r="253" spans="1:15" ht="39">
      <c r="A253" s="77"/>
      <c r="B253" s="71">
        <v>206</v>
      </c>
      <c r="C253" s="112" t="s">
        <v>1064</v>
      </c>
      <c r="D253" s="111" t="s">
        <v>1065</v>
      </c>
      <c r="E253" s="112" t="s">
        <v>1066</v>
      </c>
      <c r="F253" s="75"/>
      <c r="G253" s="75" t="s">
        <v>334</v>
      </c>
      <c r="H253" s="75" t="s">
        <v>341</v>
      </c>
      <c r="I253" s="75" t="s">
        <v>76</v>
      </c>
      <c r="J253" s="75"/>
      <c r="K253" s="75" t="s">
        <v>1203</v>
      </c>
      <c r="L253" s="75" t="s">
        <v>336</v>
      </c>
      <c r="M253" s="77"/>
      <c r="N253" s="77"/>
      <c r="O253" s="77"/>
    </row>
    <row r="254" spans="1:15" ht="26.25">
      <c r="A254" s="77"/>
      <c r="B254" s="71">
        <v>207</v>
      </c>
      <c r="C254" s="112" t="s">
        <v>1067</v>
      </c>
      <c r="D254" s="111" t="s">
        <v>1068</v>
      </c>
      <c r="E254" s="112" t="s">
        <v>1069</v>
      </c>
      <c r="F254" s="75"/>
      <c r="G254" s="75" t="s">
        <v>334</v>
      </c>
      <c r="H254" s="75" t="s">
        <v>341</v>
      </c>
      <c r="I254" s="75" t="s">
        <v>76</v>
      </c>
      <c r="J254" s="75"/>
      <c r="K254" s="75" t="s">
        <v>1203</v>
      </c>
      <c r="L254" s="75" t="s">
        <v>336</v>
      </c>
      <c r="M254" s="77"/>
      <c r="N254" s="77"/>
      <c r="O254" s="77"/>
    </row>
    <row r="255" spans="1:15" ht="30">
      <c r="A255" s="77"/>
      <c r="B255" s="71"/>
      <c r="C255" s="99" t="s">
        <v>1070</v>
      </c>
      <c r="D255" s="113"/>
      <c r="E255" s="114"/>
      <c r="F255" s="75"/>
      <c r="G255" s="75"/>
      <c r="H255" s="75"/>
      <c r="I255" s="75"/>
      <c r="J255" s="75" t="s">
        <v>1187</v>
      </c>
      <c r="K255" s="75"/>
      <c r="L255" s="75"/>
      <c r="M255" s="77"/>
      <c r="N255" s="77"/>
      <c r="O255" s="77"/>
    </row>
    <row r="256" spans="1:15" ht="64.5">
      <c r="A256" s="77"/>
      <c r="B256" s="71">
        <v>208</v>
      </c>
      <c r="C256" s="114" t="s">
        <v>1071</v>
      </c>
      <c r="D256" s="113"/>
      <c r="E256" s="114" t="s">
        <v>1072</v>
      </c>
      <c r="F256" s="75"/>
      <c r="G256" s="75" t="s">
        <v>334</v>
      </c>
      <c r="H256" s="75" t="s">
        <v>341</v>
      </c>
      <c r="I256" s="75" t="s">
        <v>76</v>
      </c>
      <c r="J256" s="75"/>
      <c r="K256" s="75" t="s">
        <v>1203</v>
      </c>
      <c r="L256" s="75" t="s">
        <v>336</v>
      </c>
      <c r="M256" s="77"/>
      <c r="N256" s="77"/>
      <c r="O256" s="77"/>
    </row>
    <row r="257" spans="1:15" ht="26.25">
      <c r="A257" s="77"/>
      <c r="B257" s="71">
        <v>209</v>
      </c>
      <c r="C257" s="114" t="s">
        <v>1073</v>
      </c>
      <c r="D257" s="113"/>
      <c r="E257" s="114" t="s">
        <v>1074</v>
      </c>
      <c r="F257" s="75"/>
      <c r="G257" s="75" t="s">
        <v>334</v>
      </c>
      <c r="H257" s="75" t="s">
        <v>341</v>
      </c>
      <c r="I257" s="75" t="s">
        <v>76</v>
      </c>
      <c r="J257" s="75"/>
      <c r="K257" s="75" t="s">
        <v>1203</v>
      </c>
      <c r="L257" s="75" t="s">
        <v>336</v>
      </c>
      <c r="M257" s="77"/>
      <c r="N257" s="77"/>
      <c r="O257" s="77"/>
    </row>
    <row r="258" spans="1:15" ht="30">
      <c r="A258" s="77"/>
      <c r="B258" s="71"/>
      <c r="C258" s="99" t="s">
        <v>1075</v>
      </c>
      <c r="D258" s="114"/>
      <c r="E258" s="114"/>
      <c r="F258" s="75"/>
      <c r="G258" s="75"/>
      <c r="H258" s="75"/>
      <c r="I258" s="75"/>
      <c r="J258" s="75" t="s">
        <v>1187</v>
      </c>
      <c r="K258" s="75"/>
      <c r="L258" s="75"/>
      <c r="M258" s="77"/>
      <c r="N258" s="77"/>
      <c r="O258" s="77"/>
    </row>
    <row r="259" spans="1:15" ht="141">
      <c r="A259" s="77"/>
      <c r="B259" s="71">
        <v>210</v>
      </c>
      <c r="C259" s="115" t="s">
        <v>1076</v>
      </c>
      <c r="D259" s="113"/>
      <c r="E259" s="114" t="s">
        <v>1077</v>
      </c>
      <c r="F259" s="75"/>
      <c r="G259" s="75" t="s">
        <v>334</v>
      </c>
      <c r="H259" s="75" t="s">
        <v>341</v>
      </c>
      <c r="I259" s="75" t="s">
        <v>76</v>
      </c>
      <c r="J259" s="75"/>
      <c r="K259" s="75" t="s">
        <v>1203</v>
      </c>
      <c r="L259" s="75" t="s">
        <v>336</v>
      </c>
      <c r="M259" s="77"/>
      <c r="N259" s="77"/>
      <c r="O259" s="77"/>
    </row>
    <row r="260" spans="1:15" ht="39">
      <c r="A260" s="77"/>
      <c r="B260" s="71">
        <v>211</v>
      </c>
      <c r="C260" s="114" t="s">
        <v>1078</v>
      </c>
      <c r="D260" s="113"/>
      <c r="E260" s="114" t="s">
        <v>1079</v>
      </c>
      <c r="F260" s="75"/>
      <c r="G260" s="75" t="s">
        <v>334</v>
      </c>
      <c r="H260" s="75" t="s">
        <v>341</v>
      </c>
      <c r="I260" s="75" t="s">
        <v>76</v>
      </c>
      <c r="J260" s="75"/>
      <c r="K260" s="75" t="s">
        <v>1203</v>
      </c>
      <c r="L260" s="75" t="s">
        <v>336</v>
      </c>
      <c r="M260" s="77"/>
      <c r="N260" s="77"/>
      <c r="O260" s="77"/>
    </row>
    <row r="261" spans="1:15" ht="27" customHeight="1">
      <c r="A261" s="77"/>
      <c r="B261" s="71">
        <v>212</v>
      </c>
      <c r="C261" s="114" t="s">
        <v>1080</v>
      </c>
      <c r="D261" s="113"/>
      <c r="E261" s="114" t="s">
        <v>1081</v>
      </c>
      <c r="F261" s="75"/>
      <c r="G261" s="75" t="s">
        <v>334</v>
      </c>
      <c r="H261" s="75" t="s">
        <v>341</v>
      </c>
      <c r="I261" s="75" t="s">
        <v>76</v>
      </c>
      <c r="J261" s="75"/>
      <c r="K261" s="75" t="s">
        <v>1203</v>
      </c>
      <c r="L261" s="75" t="s">
        <v>336</v>
      </c>
      <c r="M261" s="77"/>
      <c r="N261" s="77"/>
      <c r="O261" s="77"/>
    </row>
    <row r="262" spans="1:15" ht="26.25">
      <c r="A262" s="77"/>
      <c r="B262" s="71">
        <v>213</v>
      </c>
      <c r="C262" s="114" t="s">
        <v>1082</v>
      </c>
      <c r="D262" s="113"/>
      <c r="E262" s="114" t="s">
        <v>1083</v>
      </c>
      <c r="F262" s="75"/>
      <c r="G262" s="75" t="s">
        <v>334</v>
      </c>
      <c r="H262" s="75" t="s">
        <v>341</v>
      </c>
      <c r="I262" s="75" t="s">
        <v>76</v>
      </c>
      <c r="J262" s="75"/>
      <c r="K262" s="75" t="s">
        <v>1203</v>
      </c>
      <c r="L262" s="75" t="s">
        <v>336</v>
      </c>
      <c r="M262" s="77"/>
      <c r="N262" s="77"/>
      <c r="O262" s="77"/>
    </row>
    <row r="263" spans="1:15" ht="39">
      <c r="A263" s="77"/>
      <c r="B263" s="71">
        <v>214</v>
      </c>
      <c r="C263" s="114" t="s">
        <v>1084</v>
      </c>
      <c r="D263" s="113"/>
      <c r="E263" s="114" t="s">
        <v>1085</v>
      </c>
      <c r="F263" s="75"/>
      <c r="G263" s="75" t="s">
        <v>334</v>
      </c>
      <c r="H263" s="75" t="s">
        <v>341</v>
      </c>
      <c r="I263" s="75" t="s">
        <v>76</v>
      </c>
      <c r="J263" s="75"/>
      <c r="K263" s="75" t="s">
        <v>1203</v>
      </c>
      <c r="L263" s="75" t="s">
        <v>336</v>
      </c>
      <c r="M263" s="77"/>
      <c r="N263" s="77"/>
      <c r="O263" s="77"/>
    </row>
    <row r="264" spans="1:15" ht="26.25">
      <c r="A264" s="77"/>
      <c r="B264" s="71">
        <v>215</v>
      </c>
      <c r="C264" s="114" t="s">
        <v>1086</v>
      </c>
      <c r="D264" s="113" t="s">
        <v>1087</v>
      </c>
      <c r="E264" s="114" t="s">
        <v>1088</v>
      </c>
      <c r="F264" s="75"/>
      <c r="G264" s="75" t="s">
        <v>334</v>
      </c>
      <c r="H264" s="75" t="s">
        <v>341</v>
      </c>
      <c r="I264" s="75" t="s">
        <v>76</v>
      </c>
      <c r="J264" s="75"/>
      <c r="K264" s="75" t="s">
        <v>1203</v>
      </c>
      <c r="L264" s="75" t="s">
        <v>336</v>
      </c>
      <c r="M264" s="77"/>
      <c r="N264" s="77"/>
      <c r="O264" s="77"/>
    </row>
    <row r="265" spans="1:15" ht="39">
      <c r="A265" s="77"/>
      <c r="B265" s="71">
        <v>216</v>
      </c>
      <c r="C265" s="114" t="s">
        <v>1086</v>
      </c>
      <c r="D265" s="113" t="s">
        <v>1089</v>
      </c>
      <c r="E265" s="114" t="s">
        <v>1090</v>
      </c>
      <c r="F265" s="75"/>
      <c r="G265" s="75" t="s">
        <v>334</v>
      </c>
      <c r="H265" s="75" t="s">
        <v>341</v>
      </c>
      <c r="I265" s="75" t="s">
        <v>76</v>
      </c>
      <c r="J265" s="75"/>
      <c r="K265" s="75" t="s">
        <v>1203</v>
      </c>
      <c r="L265" s="75" t="s">
        <v>336</v>
      </c>
      <c r="M265" s="77"/>
      <c r="N265" s="77"/>
      <c r="O265" s="77"/>
    </row>
    <row r="266" spans="1:15" ht="26.25">
      <c r="A266" s="77"/>
      <c r="B266" s="71">
        <v>217</v>
      </c>
      <c r="C266" s="114" t="s">
        <v>1091</v>
      </c>
      <c r="D266" s="113"/>
      <c r="E266" s="114" t="s">
        <v>1092</v>
      </c>
      <c r="F266" s="75"/>
      <c r="G266" s="75" t="s">
        <v>334</v>
      </c>
      <c r="H266" s="75" t="s">
        <v>341</v>
      </c>
      <c r="I266" s="75" t="s">
        <v>76</v>
      </c>
      <c r="J266" s="75"/>
      <c r="K266" s="75" t="s">
        <v>1203</v>
      </c>
      <c r="L266" s="75" t="s">
        <v>336</v>
      </c>
      <c r="M266" s="77"/>
      <c r="N266" s="77"/>
      <c r="O266" s="77"/>
    </row>
    <row r="267" spans="1:15" ht="39">
      <c r="A267" s="77"/>
      <c r="B267" s="71">
        <v>218</v>
      </c>
      <c r="C267" s="114" t="s">
        <v>1093</v>
      </c>
      <c r="D267" s="113"/>
      <c r="E267" s="114" t="s">
        <v>1094</v>
      </c>
      <c r="F267" s="75"/>
      <c r="G267" s="75" t="s">
        <v>334</v>
      </c>
      <c r="H267" s="75" t="s">
        <v>341</v>
      </c>
      <c r="I267" s="75" t="s">
        <v>76</v>
      </c>
      <c r="J267" s="75"/>
      <c r="K267" s="75" t="s">
        <v>1203</v>
      </c>
      <c r="L267" s="75" t="s">
        <v>336</v>
      </c>
      <c r="M267" s="77"/>
      <c r="N267" s="77"/>
      <c r="O267" s="77"/>
    </row>
    <row r="268" spans="1:15" ht="39">
      <c r="A268" s="77"/>
      <c r="B268" s="71">
        <v>219</v>
      </c>
      <c r="C268" s="114" t="s">
        <v>1095</v>
      </c>
      <c r="D268" s="113" t="s">
        <v>1096</v>
      </c>
      <c r="E268" s="114" t="s">
        <v>1097</v>
      </c>
      <c r="F268" s="75"/>
      <c r="G268" s="75" t="s">
        <v>334</v>
      </c>
      <c r="H268" s="75" t="s">
        <v>341</v>
      </c>
      <c r="I268" s="75" t="s">
        <v>76</v>
      </c>
      <c r="J268" s="75"/>
      <c r="K268" s="75" t="s">
        <v>1203</v>
      </c>
      <c r="L268" s="75" t="s">
        <v>336</v>
      </c>
      <c r="M268" s="77"/>
      <c r="N268" s="77"/>
      <c r="O268" s="77"/>
    </row>
    <row r="269" spans="1:15" ht="26.25">
      <c r="A269" s="77"/>
      <c r="B269" s="71">
        <v>220</v>
      </c>
      <c r="C269" s="114" t="s">
        <v>1095</v>
      </c>
      <c r="D269" s="113" t="s">
        <v>1098</v>
      </c>
      <c r="E269" s="114" t="s">
        <v>1099</v>
      </c>
      <c r="F269" s="75"/>
      <c r="G269" s="75" t="s">
        <v>334</v>
      </c>
      <c r="H269" s="75" t="s">
        <v>341</v>
      </c>
      <c r="I269" s="75" t="s">
        <v>76</v>
      </c>
      <c r="J269" s="75"/>
      <c r="K269" s="75" t="s">
        <v>1203</v>
      </c>
      <c r="L269" s="75" t="s">
        <v>336</v>
      </c>
      <c r="M269" s="77"/>
      <c r="N269" s="77"/>
      <c r="O269" s="77"/>
    </row>
    <row r="270" spans="1:15" ht="39">
      <c r="A270" s="77"/>
      <c r="B270" s="71">
        <v>221</v>
      </c>
      <c r="C270" s="114" t="s">
        <v>1100</v>
      </c>
      <c r="D270" s="113"/>
      <c r="E270" s="114" t="s">
        <v>1101</v>
      </c>
      <c r="F270" s="75"/>
      <c r="G270" s="75" t="s">
        <v>334</v>
      </c>
      <c r="H270" s="75" t="s">
        <v>341</v>
      </c>
      <c r="I270" s="75" t="s">
        <v>76</v>
      </c>
      <c r="J270" s="75"/>
      <c r="K270" s="75" t="s">
        <v>1203</v>
      </c>
      <c r="L270" s="75" t="s">
        <v>336</v>
      </c>
      <c r="M270" s="77"/>
      <c r="N270" s="77"/>
      <c r="O270" s="77"/>
    </row>
    <row r="271" spans="1:15" ht="26.25">
      <c r="A271" s="77"/>
      <c r="B271" s="71">
        <v>222</v>
      </c>
      <c r="C271" s="114" t="s">
        <v>1102</v>
      </c>
      <c r="D271" s="113"/>
      <c r="E271" s="114" t="s">
        <v>1103</v>
      </c>
      <c r="F271" s="75"/>
      <c r="G271" s="75" t="s">
        <v>334</v>
      </c>
      <c r="H271" s="75" t="s">
        <v>341</v>
      </c>
      <c r="I271" s="75" t="s">
        <v>76</v>
      </c>
      <c r="J271" s="75"/>
      <c r="K271" s="75" t="s">
        <v>1203</v>
      </c>
      <c r="L271" s="75" t="s">
        <v>336</v>
      </c>
      <c r="M271" s="77"/>
      <c r="N271" s="77"/>
      <c r="O271" s="77"/>
    </row>
    <row r="272" spans="1:15" ht="39">
      <c r="A272" s="77"/>
      <c r="B272" s="71">
        <v>223</v>
      </c>
      <c r="C272" s="114" t="s">
        <v>1104</v>
      </c>
      <c r="D272" s="113"/>
      <c r="E272" s="114" t="s">
        <v>1105</v>
      </c>
      <c r="F272" s="75"/>
      <c r="G272" s="75" t="s">
        <v>334</v>
      </c>
      <c r="H272" s="75" t="s">
        <v>341</v>
      </c>
      <c r="I272" s="75" t="s">
        <v>76</v>
      </c>
      <c r="J272" s="75"/>
      <c r="K272" s="75" t="s">
        <v>1203</v>
      </c>
      <c r="L272" s="75" t="s">
        <v>336</v>
      </c>
      <c r="M272" s="77"/>
      <c r="N272" s="77"/>
      <c r="O272" s="77"/>
    </row>
    <row r="273" spans="1:15" ht="39">
      <c r="A273" s="77"/>
      <c r="B273" s="71">
        <v>224</v>
      </c>
      <c r="C273" s="114" t="s">
        <v>1106</v>
      </c>
      <c r="D273" s="113"/>
      <c r="E273" s="114" t="s">
        <v>1107</v>
      </c>
      <c r="F273" s="75"/>
      <c r="G273" s="75" t="s">
        <v>334</v>
      </c>
      <c r="H273" s="75" t="s">
        <v>341</v>
      </c>
      <c r="I273" s="75" t="s">
        <v>76</v>
      </c>
      <c r="J273" s="75"/>
      <c r="K273" s="75" t="s">
        <v>1203</v>
      </c>
      <c r="L273" s="75" t="s">
        <v>336</v>
      </c>
      <c r="M273" s="77"/>
      <c r="N273" s="77"/>
      <c r="O273" s="77"/>
    </row>
    <row r="274" spans="1:15" ht="26.25">
      <c r="A274" s="77"/>
      <c r="B274" s="71">
        <v>225</v>
      </c>
      <c r="C274" s="114" t="s">
        <v>1108</v>
      </c>
      <c r="D274" s="113"/>
      <c r="E274" s="114" t="s">
        <v>1109</v>
      </c>
      <c r="F274" s="75"/>
      <c r="G274" s="75" t="s">
        <v>334</v>
      </c>
      <c r="H274" s="75" t="s">
        <v>341</v>
      </c>
      <c r="I274" s="75" t="s">
        <v>76</v>
      </c>
      <c r="J274" s="75"/>
      <c r="K274" s="75" t="s">
        <v>1203</v>
      </c>
      <c r="L274" s="75" t="s">
        <v>336</v>
      </c>
      <c r="M274" s="77"/>
      <c r="N274" s="77"/>
      <c r="O274" s="77"/>
    </row>
    <row r="275" spans="1:15" ht="30">
      <c r="A275" s="77"/>
      <c r="B275" s="71"/>
      <c r="C275" s="99" t="s">
        <v>1110</v>
      </c>
      <c r="D275" s="114"/>
      <c r="E275" s="114"/>
      <c r="F275" s="75"/>
      <c r="G275" s="75"/>
      <c r="H275" s="75"/>
      <c r="I275" s="75"/>
      <c r="J275" s="75" t="s">
        <v>1187</v>
      </c>
      <c r="K275" s="75"/>
      <c r="L275" s="75"/>
      <c r="M275" s="77"/>
      <c r="N275" s="77"/>
      <c r="O275" s="77"/>
    </row>
    <row r="276" spans="1:15" ht="26.25">
      <c r="A276" s="77"/>
      <c r="B276" s="71">
        <v>226</v>
      </c>
      <c r="C276" s="114" t="s">
        <v>1111</v>
      </c>
      <c r="D276" s="114"/>
      <c r="E276" s="114" t="s">
        <v>1112</v>
      </c>
      <c r="F276" s="75"/>
      <c r="G276" s="75" t="s">
        <v>334</v>
      </c>
      <c r="H276" s="75" t="s">
        <v>341</v>
      </c>
      <c r="I276" s="75" t="s">
        <v>76</v>
      </c>
      <c r="J276" s="75"/>
      <c r="K276" s="75" t="s">
        <v>1203</v>
      </c>
      <c r="L276" s="75" t="s">
        <v>336</v>
      </c>
      <c r="M276" s="77"/>
      <c r="N276" s="77"/>
      <c r="O276" s="77"/>
    </row>
    <row r="277" spans="1:15" ht="26.25">
      <c r="A277" s="77"/>
      <c r="B277" s="71">
        <v>227</v>
      </c>
      <c r="C277" s="114" t="s">
        <v>1113</v>
      </c>
      <c r="D277" s="113"/>
      <c r="E277" s="114" t="s">
        <v>1114</v>
      </c>
      <c r="F277" s="75"/>
      <c r="G277" s="75" t="s">
        <v>334</v>
      </c>
      <c r="H277" s="75" t="s">
        <v>341</v>
      </c>
      <c r="I277" s="75" t="s">
        <v>76</v>
      </c>
      <c r="J277" s="75"/>
      <c r="K277" s="75" t="s">
        <v>1203</v>
      </c>
      <c r="L277" s="75" t="s">
        <v>336</v>
      </c>
      <c r="M277" s="77"/>
      <c r="N277" s="77"/>
      <c r="O277" s="77"/>
    </row>
    <row r="278" spans="1:15" ht="26.25">
      <c r="A278" s="77"/>
      <c r="B278" s="71">
        <v>228</v>
      </c>
      <c r="C278" s="117" t="s">
        <v>1116</v>
      </c>
      <c r="D278" s="116"/>
      <c r="E278" s="117" t="s">
        <v>1117</v>
      </c>
      <c r="F278" s="75"/>
      <c r="G278" s="75" t="s">
        <v>334</v>
      </c>
      <c r="H278" s="75" t="s">
        <v>341</v>
      </c>
      <c r="I278" s="75" t="s">
        <v>76</v>
      </c>
      <c r="J278" s="75"/>
      <c r="K278" s="75" t="s">
        <v>1203</v>
      </c>
      <c r="L278" s="75" t="s">
        <v>336</v>
      </c>
      <c r="M278" s="77"/>
      <c r="N278" s="77"/>
      <c r="O278" s="77"/>
    </row>
    <row r="279" spans="1:15" ht="26.25">
      <c r="A279" s="77"/>
      <c r="B279" s="71">
        <v>229</v>
      </c>
      <c r="C279" s="117" t="s">
        <v>1118</v>
      </c>
      <c r="D279" s="116"/>
      <c r="E279" s="117" t="s">
        <v>1119</v>
      </c>
      <c r="F279" s="75"/>
      <c r="G279" s="75" t="s">
        <v>334</v>
      </c>
      <c r="H279" s="75" t="s">
        <v>341</v>
      </c>
      <c r="I279" s="75" t="s">
        <v>76</v>
      </c>
      <c r="J279" s="75"/>
      <c r="K279" s="75" t="s">
        <v>1203</v>
      </c>
      <c r="L279" s="75" t="s">
        <v>336</v>
      </c>
      <c r="M279" s="77"/>
      <c r="N279" s="77"/>
      <c r="O279" s="77"/>
    </row>
    <row r="280" spans="1:15" ht="26.25">
      <c r="A280" s="77"/>
      <c r="B280" s="71">
        <v>230</v>
      </c>
      <c r="C280" s="117" t="s">
        <v>1120</v>
      </c>
      <c r="D280" s="116"/>
      <c r="E280" s="117" t="s">
        <v>1121</v>
      </c>
      <c r="F280" s="75"/>
      <c r="G280" s="75" t="s">
        <v>334</v>
      </c>
      <c r="H280" s="75" t="s">
        <v>341</v>
      </c>
      <c r="I280" s="75" t="s">
        <v>76</v>
      </c>
      <c r="J280" s="75"/>
      <c r="K280" s="75" t="s">
        <v>1203</v>
      </c>
      <c r="L280" s="75" t="s">
        <v>336</v>
      </c>
      <c r="M280" s="77"/>
      <c r="N280" s="77"/>
      <c r="O280" s="77"/>
    </row>
    <row r="281" spans="1:15" ht="26.25">
      <c r="A281" s="77"/>
      <c r="B281" s="71">
        <v>231</v>
      </c>
      <c r="C281" s="117" t="s">
        <v>1122</v>
      </c>
      <c r="D281" s="116"/>
      <c r="E281" s="117" t="s">
        <v>1123</v>
      </c>
      <c r="F281" s="75"/>
      <c r="G281" s="75" t="s">
        <v>334</v>
      </c>
      <c r="H281" s="75" t="s">
        <v>341</v>
      </c>
      <c r="I281" s="75" t="s">
        <v>76</v>
      </c>
      <c r="J281" s="75"/>
      <c r="K281" s="75" t="s">
        <v>1203</v>
      </c>
      <c r="L281" s="75" t="s">
        <v>336</v>
      </c>
      <c r="M281" s="77"/>
      <c r="N281" s="77"/>
      <c r="O281" s="77"/>
    </row>
    <row r="282" spans="1:15" ht="39">
      <c r="A282" s="77"/>
      <c r="B282" s="71">
        <v>232</v>
      </c>
      <c r="C282" s="117" t="s">
        <v>1124</v>
      </c>
      <c r="D282" s="116"/>
      <c r="E282" s="117" t="s">
        <v>1125</v>
      </c>
      <c r="F282" s="75"/>
      <c r="G282" s="75" t="s">
        <v>334</v>
      </c>
      <c r="H282" s="75" t="s">
        <v>341</v>
      </c>
      <c r="I282" s="75" t="s">
        <v>76</v>
      </c>
      <c r="J282" s="75"/>
      <c r="K282" s="75" t="s">
        <v>1203</v>
      </c>
      <c r="L282" s="75" t="s">
        <v>336</v>
      </c>
      <c r="M282" s="77"/>
      <c r="N282" s="77"/>
      <c r="O282" s="77"/>
    </row>
    <row r="283" spans="1:15" ht="39">
      <c r="A283" s="77"/>
      <c r="B283" s="71">
        <v>233</v>
      </c>
      <c r="C283" s="117" t="s">
        <v>1126</v>
      </c>
      <c r="D283" s="116"/>
      <c r="E283" s="117" t="s">
        <v>1127</v>
      </c>
      <c r="F283" s="75"/>
      <c r="G283" s="75" t="s">
        <v>334</v>
      </c>
      <c r="H283" s="75" t="s">
        <v>341</v>
      </c>
      <c r="I283" s="75" t="s">
        <v>76</v>
      </c>
      <c r="J283" s="75"/>
      <c r="K283" s="75" t="s">
        <v>1203</v>
      </c>
      <c r="L283" s="75" t="s">
        <v>336</v>
      </c>
      <c r="M283" s="77"/>
      <c r="N283" s="77"/>
      <c r="O283" s="77"/>
    </row>
    <row r="284" spans="1:15" ht="26.25">
      <c r="A284" s="77"/>
      <c r="B284" s="71">
        <v>234</v>
      </c>
      <c r="C284" s="117" t="s">
        <v>1128</v>
      </c>
      <c r="D284" s="116" t="s">
        <v>1129</v>
      </c>
      <c r="E284" s="117" t="s">
        <v>1130</v>
      </c>
      <c r="F284" s="75"/>
      <c r="G284" s="75" t="s">
        <v>334</v>
      </c>
      <c r="H284" s="75" t="s">
        <v>341</v>
      </c>
      <c r="I284" s="75" t="s">
        <v>76</v>
      </c>
      <c r="J284" s="75"/>
      <c r="K284" s="75" t="s">
        <v>1203</v>
      </c>
      <c r="L284" s="75" t="s">
        <v>336</v>
      </c>
      <c r="M284" s="77"/>
      <c r="N284" s="77"/>
      <c r="O284" s="77"/>
    </row>
    <row r="285" spans="1:15" ht="26.25">
      <c r="A285" s="77"/>
      <c r="B285" s="71">
        <v>235</v>
      </c>
      <c r="C285" s="117" t="s">
        <v>1128</v>
      </c>
      <c r="D285" s="116"/>
      <c r="E285" s="117" t="s">
        <v>1131</v>
      </c>
      <c r="F285" s="75"/>
      <c r="G285" s="75" t="s">
        <v>334</v>
      </c>
      <c r="H285" s="75" t="s">
        <v>341</v>
      </c>
      <c r="I285" s="75" t="s">
        <v>76</v>
      </c>
      <c r="J285" s="75"/>
      <c r="K285" s="75" t="s">
        <v>1203</v>
      </c>
      <c r="L285" s="75" t="s">
        <v>336</v>
      </c>
      <c r="M285" s="77"/>
      <c r="N285" s="77"/>
      <c r="O285" s="77"/>
    </row>
    <row r="286" spans="1:15" ht="26.25">
      <c r="A286" s="77"/>
      <c r="B286" s="71">
        <v>236</v>
      </c>
      <c r="C286" s="117" t="s">
        <v>1132</v>
      </c>
      <c r="D286" s="116"/>
      <c r="E286" s="117" t="s">
        <v>1133</v>
      </c>
      <c r="F286" s="75"/>
      <c r="G286" s="75" t="s">
        <v>334</v>
      </c>
      <c r="H286" s="75" t="s">
        <v>341</v>
      </c>
      <c r="I286" s="75" t="s">
        <v>76</v>
      </c>
      <c r="J286" s="75"/>
      <c r="K286" s="75" t="s">
        <v>1203</v>
      </c>
      <c r="L286" s="75" t="s">
        <v>336</v>
      </c>
      <c r="M286" s="77"/>
      <c r="N286" s="77"/>
      <c r="O286" s="77"/>
    </row>
    <row r="287" spans="1:15" ht="26.25">
      <c r="A287" s="77"/>
      <c r="B287" s="71">
        <v>237</v>
      </c>
      <c r="C287" s="117" t="s">
        <v>1134</v>
      </c>
      <c r="D287" s="116"/>
      <c r="E287" s="117" t="s">
        <v>1135</v>
      </c>
      <c r="F287" s="75"/>
      <c r="G287" s="75" t="s">
        <v>334</v>
      </c>
      <c r="H287" s="75" t="s">
        <v>341</v>
      </c>
      <c r="I287" s="75" t="s">
        <v>76</v>
      </c>
      <c r="J287" s="75"/>
      <c r="K287" s="75" t="s">
        <v>1203</v>
      </c>
      <c r="L287" s="75" t="s">
        <v>336</v>
      </c>
      <c r="M287" s="77"/>
      <c r="N287" s="77"/>
      <c r="O287" s="77"/>
    </row>
    <row r="288" spans="1:15" ht="39">
      <c r="A288" s="77"/>
      <c r="B288" s="71">
        <v>238</v>
      </c>
      <c r="C288" s="117" t="s">
        <v>1136</v>
      </c>
      <c r="D288" s="116" t="s">
        <v>1087</v>
      </c>
      <c r="E288" s="117" t="s">
        <v>1137</v>
      </c>
      <c r="F288" s="75"/>
      <c r="G288" s="75" t="s">
        <v>334</v>
      </c>
      <c r="H288" s="75" t="s">
        <v>341</v>
      </c>
      <c r="I288" s="75" t="s">
        <v>76</v>
      </c>
      <c r="J288" s="75"/>
      <c r="K288" s="75" t="s">
        <v>1203</v>
      </c>
      <c r="L288" s="75" t="s">
        <v>336</v>
      </c>
      <c r="M288" s="77"/>
      <c r="N288" s="77"/>
      <c r="O288" s="77"/>
    </row>
    <row r="289" spans="1:15" ht="39">
      <c r="A289" s="77"/>
      <c r="B289" s="71">
        <v>239</v>
      </c>
      <c r="C289" s="117" t="s">
        <v>1136</v>
      </c>
      <c r="D289" s="116" t="s">
        <v>1089</v>
      </c>
      <c r="E289" s="117" t="s">
        <v>1138</v>
      </c>
      <c r="F289" s="75"/>
      <c r="G289" s="75" t="s">
        <v>334</v>
      </c>
      <c r="H289" s="75" t="s">
        <v>341</v>
      </c>
      <c r="I289" s="75" t="s">
        <v>76</v>
      </c>
      <c r="J289" s="75"/>
      <c r="K289" s="75" t="s">
        <v>1203</v>
      </c>
      <c r="L289" s="75" t="s">
        <v>336</v>
      </c>
      <c r="M289" s="77"/>
      <c r="N289" s="77"/>
      <c r="O289" s="77"/>
    </row>
    <row r="290" spans="1:15" ht="51.75">
      <c r="A290" s="77"/>
      <c r="B290" s="71">
        <v>240</v>
      </c>
      <c r="C290" s="117" t="s">
        <v>1139</v>
      </c>
      <c r="D290" s="116"/>
      <c r="E290" s="117" t="s">
        <v>1140</v>
      </c>
      <c r="F290" s="75"/>
      <c r="G290" s="75" t="s">
        <v>334</v>
      </c>
      <c r="H290" s="75" t="s">
        <v>341</v>
      </c>
      <c r="I290" s="75" t="s">
        <v>76</v>
      </c>
      <c r="J290" s="75"/>
      <c r="K290" s="75" t="s">
        <v>1203</v>
      </c>
      <c r="L290" s="75" t="s">
        <v>336</v>
      </c>
      <c r="M290" s="77"/>
      <c r="N290" s="77"/>
      <c r="O290" s="77"/>
    </row>
    <row r="291" spans="1:15" ht="30">
      <c r="A291" s="77"/>
      <c r="B291" s="71"/>
      <c r="C291" s="99" t="s">
        <v>1141</v>
      </c>
      <c r="D291" s="118"/>
      <c r="E291" s="119"/>
      <c r="F291" s="75"/>
      <c r="G291" s="75"/>
      <c r="H291" s="75"/>
      <c r="I291" s="75"/>
      <c r="J291" s="75" t="s">
        <v>1187</v>
      </c>
      <c r="K291" s="75"/>
      <c r="L291" s="75"/>
      <c r="M291" s="77"/>
      <c r="N291" s="77"/>
      <c r="O291" s="77"/>
    </row>
    <row r="292" spans="1:15" ht="26.25">
      <c r="A292" s="77"/>
      <c r="B292" s="71">
        <v>241</v>
      </c>
      <c r="C292" s="119" t="s">
        <v>1142</v>
      </c>
      <c r="D292" s="118"/>
      <c r="E292" s="119" t="s">
        <v>1143</v>
      </c>
      <c r="F292" s="75"/>
      <c r="G292" s="75" t="s">
        <v>334</v>
      </c>
      <c r="H292" s="75" t="s">
        <v>341</v>
      </c>
      <c r="I292" s="75" t="s">
        <v>76</v>
      </c>
      <c r="J292" s="75"/>
      <c r="K292" s="75" t="s">
        <v>1203</v>
      </c>
      <c r="L292" s="75" t="s">
        <v>336</v>
      </c>
      <c r="M292" s="77"/>
      <c r="N292" s="77"/>
      <c r="O292" s="77"/>
    </row>
    <row r="293" spans="1:15" ht="26.25">
      <c r="A293" s="77"/>
      <c r="B293" s="71">
        <v>242</v>
      </c>
      <c r="C293" s="119" t="s">
        <v>1144</v>
      </c>
      <c r="D293" s="121" t="s">
        <v>1145</v>
      </c>
      <c r="E293" s="120" t="s">
        <v>1146</v>
      </c>
      <c r="F293" s="75"/>
      <c r="G293" s="75" t="s">
        <v>334</v>
      </c>
      <c r="H293" s="75" t="s">
        <v>341</v>
      </c>
      <c r="I293" s="75" t="s">
        <v>76</v>
      </c>
      <c r="J293" s="75"/>
      <c r="K293" s="75" t="s">
        <v>1203</v>
      </c>
      <c r="L293" s="75" t="s">
        <v>336</v>
      </c>
      <c r="M293" s="77"/>
      <c r="N293" s="77"/>
      <c r="O293" s="77"/>
    </row>
    <row r="294" spans="1:15" ht="26.25">
      <c r="A294" s="77"/>
      <c r="B294" s="71">
        <v>243</v>
      </c>
      <c r="C294" s="119" t="s">
        <v>1115</v>
      </c>
      <c r="D294" s="118"/>
      <c r="E294" s="119" t="s">
        <v>1147</v>
      </c>
      <c r="F294" s="75"/>
      <c r="G294" s="75" t="s">
        <v>334</v>
      </c>
      <c r="H294" s="75" t="s">
        <v>341</v>
      </c>
      <c r="I294" s="75" t="s">
        <v>76</v>
      </c>
      <c r="J294" s="75"/>
      <c r="K294" s="75" t="s">
        <v>1203</v>
      </c>
      <c r="L294" s="75" t="s">
        <v>336</v>
      </c>
      <c r="M294" s="77"/>
      <c r="N294" s="77"/>
      <c r="O294" s="77"/>
    </row>
    <row r="295" spans="1:15" ht="141">
      <c r="A295" s="77"/>
      <c r="B295" s="71">
        <v>244</v>
      </c>
      <c r="C295" s="120" t="s">
        <v>1148</v>
      </c>
      <c r="D295" s="118"/>
      <c r="E295" s="119" t="s">
        <v>1149</v>
      </c>
      <c r="F295" s="75"/>
      <c r="G295" s="75" t="s">
        <v>334</v>
      </c>
      <c r="H295" s="75" t="s">
        <v>341</v>
      </c>
      <c r="I295" s="75" t="s">
        <v>76</v>
      </c>
      <c r="J295" s="75"/>
      <c r="K295" s="75" t="s">
        <v>1203</v>
      </c>
      <c r="L295" s="75" t="s">
        <v>336</v>
      </c>
      <c r="M295" s="77"/>
      <c r="N295" s="77"/>
      <c r="O295" s="77"/>
    </row>
    <row r="296" spans="1:15" ht="39">
      <c r="A296" s="77"/>
      <c r="B296" s="71">
        <v>245</v>
      </c>
      <c r="C296" s="119" t="s">
        <v>1150</v>
      </c>
      <c r="D296" s="118"/>
      <c r="E296" s="119" t="s">
        <v>1151</v>
      </c>
      <c r="F296" s="75"/>
      <c r="G296" s="75" t="s">
        <v>334</v>
      </c>
      <c r="H296" s="75" t="s">
        <v>341</v>
      </c>
      <c r="I296" s="75" t="s">
        <v>76</v>
      </c>
      <c r="J296" s="75"/>
      <c r="K296" s="75" t="s">
        <v>1203</v>
      </c>
      <c r="L296" s="75" t="s">
        <v>336</v>
      </c>
      <c r="M296" s="77"/>
      <c r="N296" s="77"/>
      <c r="O296" s="77"/>
    </row>
    <row r="297" spans="1:15" ht="51.75">
      <c r="A297" s="77"/>
      <c r="B297" s="71">
        <v>246</v>
      </c>
      <c r="C297" s="119" t="s">
        <v>1152</v>
      </c>
      <c r="D297" s="118"/>
      <c r="E297" s="119" t="s">
        <v>1153</v>
      </c>
      <c r="F297" s="75"/>
      <c r="G297" s="75" t="s">
        <v>334</v>
      </c>
      <c r="H297" s="75" t="s">
        <v>341</v>
      </c>
      <c r="I297" s="75" t="s">
        <v>76</v>
      </c>
      <c r="J297" s="75"/>
      <c r="K297" s="75" t="s">
        <v>1203</v>
      </c>
      <c r="L297" s="75" t="s">
        <v>336</v>
      </c>
      <c r="M297" s="77"/>
      <c r="N297" s="77"/>
      <c r="O297" s="77"/>
    </row>
    <row r="298" spans="1:15" ht="39">
      <c r="A298" s="77"/>
      <c r="B298" s="71">
        <v>247</v>
      </c>
      <c r="C298" s="119" t="s">
        <v>1154</v>
      </c>
      <c r="D298" s="118"/>
      <c r="E298" s="119" t="s">
        <v>1155</v>
      </c>
      <c r="F298" s="75"/>
      <c r="G298" s="75" t="s">
        <v>334</v>
      </c>
      <c r="H298" s="75" t="s">
        <v>341</v>
      </c>
      <c r="I298" s="75" t="s">
        <v>76</v>
      </c>
      <c r="J298" s="75"/>
      <c r="K298" s="75" t="s">
        <v>1203</v>
      </c>
      <c r="L298" s="75" t="s">
        <v>336</v>
      </c>
      <c r="M298" s="77"/>
      <c r="N298" s="77"/>
      <c r="O298" s="77"/>
    </row>
    <row r="299" spans="1:15" ht="39">
      <c r="A299" s="77"/>
      <c r="B299" s="71">
        <v>248</v>
      </c>
      <c r="C299" s="119" t="s">
        <v>1156</v>
      </c>
      <c r="D299" s="118"/>
      <c r="E299" s="119" t="s">
        <v>1157</v>
      </c>
      <c r="F299" s="75"/>
      <c r="G299" s="75" t="s">
        <v>334</v>
      </c>
      <c r="H299" s="75" t="s">
        <v>341</v>
      </c>
      <c r="I299" s="75" t="s">
        <v>76</v>
      </c>
      <c r="J299" s="75"/>
      <c r="K299" s="75" t="s">
        <v>1203</v>
      </c>
      <c r="L299" s="75" t="s">
        <v>336</v>
      </c>
      <c r="M299" s="77"/>
      <c r="N299" s="77"/>
      <c r="O299" s="77"/>
    </row>
    <row r="300" spans="1:15" ht="39">
      <c r="A300" s="77"/>
      <c r="B300" s="71">
        <v>249</v>
      </c>
      <c r="C300" s="119" t="s">
        <v>1158</v>
      </c>
      <c r="D300" s="118"/>
      <c r="E300" s="119" t="s">
        <v>1159</v>
      </c>
      <c r="F300" s="75"/>
      <c r="G300" s="75" t="s">
        <v>334</v>
      </c>
      <c r="H300" s="75" t="s">
        <v>341</v>
      </c>
      <c r="I300" s="75" t="s">
        <v>76</v>
      </c>
      <c r="J300" s="75"/>
      <c r="K300" s="75" t="s">
        <v>1203</v>
      </c>
      <c r="L300" s="75" t="s">
        <v>336</v>
      </c>
      <c r="M300" s="77"/>
      <c r="N300" s="77"/>
      <c r="O300" s="77"/>
    </row>
    <row r="301" spans="1:15" ht="26.25">
      <c r="A301" s="77"/>
      <c r="B301" s="71">
        <v>250</v>
      </c>
      <c r="C301" s="119" t="s">
        <v>1160</v>
      </c>
      <c r="D301" s="118"/>
      <c r="E301" s="119" t="s">
        <v>1161</v>
      </c>
      <c r="F301" s="75"/>
      <c r="G301" s="75" t="s">
        <v>334</v>
      </c>
      <c r="H301" s="75" t="s">
        <v>341</v>
      </c>
      <c r="I301" s="75" t="s">
        <v>76</v>
      </c>
      <c r="J301" s="75"/>
      <c r="K301" s="75" t="s">
        <v>1203</v>
      </c>
      <c r="L301" s="75" t="s">
        <v>336</v>
      </c>
      <c r="M301" s="77"/>
      <c r="N301" s="77"/>
      <c r="O301" s="77"/>
    </row>
    <row r="302" spans="1:15">
      <c r="A302" s="75" t="s">
        <v>1163</v>
      </c>
      <c r="B302" s="71"/>
      <c r="C302" s="99" t="s">
        <v>758</v>
      </c>
      <c r="D302" s="88"/>
      <c r="E302" s="88"/>
      <c r="F302" s="75"/>
      <c r="G302" s="75"/>
      <c r="H302" s="75"/>
      <c r="I302" s="75"/>
      <c r="J302" s="75"/>
      <c r="K302" s="75"/>
      <c r="L302" s="75"/>
      <c r="M302" s="75"/>
      <c r="N302" s="75"/>
      <c r="O302" s="75"/>
    </row>
    <row r="303" spans="1:15" s="83" customFormat="1" ht="30">
      <c r="A303" s="80"/>
      <c r="B303" s="71">
        <v>251</v>
      </c>
      <c r="C303" s="88" t="s">
        <v>759</v>
      </c>
      <c r="D303" s="88"/>
      <c r="E303" s="88" t="s">
        <v>760</v>
      </c>
      <c r="F303" s="75"/>
      <c r="G303" s="82" t="s">
        <v>334</v>
      </c>
      <c r="H303" s="82" t="s">
        <v>341</v>
      </c>
      <c r="I303" s="75" t="s">
        <v>76</v>
      </c>
      <c r="J303" s="75"/>
      <c r="K303" s="75" t="s">
        <v>1204</v>
      </c>
      <c r="L303" s="75" t="s">
        <v>336</v>
      </c>
      <c r="M303" s="82"/>
      <c r="N303" s="82"/>
      <c r="O303" s="75"/>
    </row>
    <row r="304" spans="1:15" s="83" customFormat="1">
      <c r="A304" s="80"/>
      <c r="B304" s="71">
        <v>252</v>
      </c>
      <c r="C304" s="88" t="s">
        <v>761</v>
      </c>
      <c r="D304" s="88"/>
      <c r="E304" s="88" t="s">
        <v>762</v>
      </c>
      <c r="F304" s="75"/>
      <c r="G304" s="82" t="s">
        <v>334</v>
      </c>
      <c r="H304" s="82" t="s">
        <v>341</v>
      </c>
      <c r="I304" s="75" t="s">
        <v>76</v>
      </c>
      <c r="J304" s="75"/>
      <c r="K304" s="75" t="s">
        <v>1204</v>
      </c>
      <c r="L304" s="75" t="s">
        <v>336</v>
      </c>
      <c r="M304" s="82"/>
      <c r="N304" s="82"/>
      <c r="O304" s="75"/>
    </row>
    <row r="305" spans="1:15">
      <c r="A305" s="75" t="s">
        <v>1162</v>
      </c>
      <c r="B305" s="71"/>
      <c r="C305" s="99" t="s">
        <v>763</v>
      </c>
      <c r="D305" s="88"/>
      <c r="E305" s="88"/>
      <c r="F305" s="75"/>
      <c r="G305" s="75"/>
      <c r="H305" s="75"/>
      <c r="I305" s="75"/>
      <c r="J305" s="75"/>
      <c r="K305" s="75"/>
      <c r="L305" s="75"/>
      <c r="M305" s="75"/>
      <c r="N305" s="75"/>
      <c r="O305" s="75"/>
    </row>
    <row r="306" spans="1:15" s="83" customFormat="1" ht="30">
      <c r="A306" s="80"/>
      <c r="B306" s="71">
        <v>253</v>
      </c>
      <c r="C306" s="88" t="s">
        <v>764</v>
      </c>
      <c r="D306" s="88"/>
      <c r="E306" s="88" t="s">
        <v>765</v>
      </c>
      <c r="F306" s="75"/>
      <c r="G306" s="82" t="s">
        <v>334</v>
      </c>
      <c r="H306" s="82" t="s">
        <v>341</v>
      </c>
      <c r="I306" s="75" t="s">
        <v>76</v>
      </c>
      <c r="J306" s="75"/>
      <c r="K306" s="75" t="s">
        <v>1204</v>
      </c>
      <c r="L306" s="75" t="s">
        <v>336</v>
      </c>
      <c r="M306" s="100"/>
      <c r="N306" s="82"/>
      <c r="O306" s="75"/>
    </row>
    <row r="307" spans="1:15" s="83" customFormat="1">
      <c r="A307" s="80"/>
      <c r="B307" s="71">
        <v>254</v>
      </c>
      <c r="C307" s="88" t="s">
        <v>766</v>
      </c>
      <c r="D307" s="88"/>
      <c r="E307" s="88" t="s">
        <v>767</v>
      </c>
      <c r="F307" s="75"/>
      <c r="G307" s="82" t="s">
        <v>334</v>
      </c>
      <c r="H307" s="82" t="s">
        <v>341</v>
      </c>
      <c r="I307" s="75" t="s">
        <v>76</v>
      </c>
      <c r="J307" s="75"/>
      <c r="K307" s="75" t="s">
        <v>1204</v>
      </c>
      <c r="L307" s="75" t="s">
        <v>336</v>
      </c>
      <c r="M307" s="82"/>
      <c r="N307" s="82"/>
      <c r="O307" s="75"/>
    </row>
    <row r="308" spans="1:15" s="83" customFormat="1" ht="45">
      <c r="A308" s="80"/>
      <c r="B308" s="71">
        <v>255</v>
      </c>
      <c r="C308" s="88" t="s">
        <v>768</v>
      </c>
      <c r="D308" s="88"/>
      <c r="E308" s="88" t="s">
        <v>769</v>
      </c>
      <c r="F308" s="75"/>
      <c r="G308" s="82" t="s">
        <v>334</v>
      </c>
      <c r="H308" s="82" t="s">
        <v>341</v>
      </c>
      <c r="I308" s="75" t="s">
        <v>76</v>
      </c>
      <c r="J308" s="75"/>
      <c r="K308" s="75" t="s">
        <v>1204</v>
      </c>
      <c r="L308" s="75" t="s">
        <v>336</v>
      </c>
      <c r="M308" s="82"/>
      <c r="N308" s="82"/>
      <c r="O308" s="75"/>
    </row>
    <row r="309" spans="1:15" s="83" customFormat="1" ht="30">
      <c r="A309" s="80"/>
      <c r="B309" s="71">
        <v>256</v>
      </c>
      <c r="C309" s="88" t="s">
        <v>770</v>
      </c>
      <c r="D309" s="88"/>
      <c r="E309" s="88" t="s">
        <v>771</v>
      </c>
      <c r="F309" s="75"/>
      <c r="G309" s="82" t="s">
        <v>437</v>
      </c>
      <c r="H309" s="82" t="s">
        <v>341</v>
      </c>
      <c r="I309" s="75" t="s">
        <v>76</v>
      </c>
      <c r="J309" s="75"/>
      <c r="K309" s="75" t="s">
        <v>1204</v>
      </c>
      <c r="L309" s="75" t="s">
        <v>336</v>
      </c>
      <c r="M309" s="82"/>
      <c r="N309" s="82"/>
      <c r="O309" s="75"/>
    </row>
    <row r="310" spans="1:15" s="83" customFormat="1" ht="45">
      <c r="A310" s="80"/>
      <c r="B310" s="71">
        <v>257</v>
      </c>
      <c r="C310" s="88" t="s">
        <v>772</v>
      </c>
      <c r="D310" s="88"/>
      <c r="E310" s="88" t="s">
        <v>773</v>
      </c>
      <c r="F310" s="75"/>
      <c r="G310" s="82" t="s">
        <v>437</v>
      </c>
      <c r="H310" s="82" t="s">
        <v>341</v>
      </c>
      <c r="I310" s="75" t="s">
        <v>76</v>
      </c>
      <c r="J310" s="75"/>
      <c r="K310" s="75" t="s">
        <v>1204</v>
      </c>
      <c r="L310" s="75" t="s">
        <v>336</v>
      </c>
      <c r="M310" s="82"/>
      <c r="N310" s="82"/>
      <c r="O310" s="75"/>
    </row>
    <row r="311" spans="1:15" s="83" customFormat="1" ht="30">
      <c r="A311" s="80"/>
      <c r="B311" s="71">
        <v>258</v>
      </c>
      <c r="C311" s="88" t="s">
        <v>774</v>
      </c>
      <c r="D311" s="88"/>
      <c r="E311" s="88" t="s">
        <v>775</v>
      </c>
      <c r="F311" s="75"/>
      <c r="G311" s="82" t="s">
        <v>334</v>
      </c>
      <c r="H311" s="82" t="s">
        <v>341</v>
      </c>
      <c r="I311" s="75" t="s">
        <v>76</v>
      </c>
      <c r="J311" s="75"/>
      <c r="K311" s="75" t="s">
        <v>1204</v>
      </c>
      <c r="L311" s="75" t="s">
        <v>336</v>
      </c>
      <c r="M311" s="82"/>
      <c r="N311" s="82"/>
      <c r="O311" s="75"/>
    </row>
    <row r="312" spans="1:15" s="83" customFormat="1" ht="45">
      <c r="A312" s="80"/>
      <c r="B312" s="71">
        <v>259</v>
      </c>
      <c r="C312" s="88" t="s">
        <v>776</v>
      </c>
      <c r="D312" s="88"/>
      <c r="E312" s="88" t="s">
        <v>777</v>
      </c>
      <c r="F312" s="75"/>
      <c r="G312" s="82" t="s">
        <v>437</v>
      </c>
      <c r="H312" s="82" t="s">
        <v>341</v>
      </c>
      <c r="I312" s="75" t="s">
        <v>76</v>
      </c>
      <c r="J312" s="75"/>
      <c r="K312" s="75" t="s">
        <v>1204</v>
      </c>
      <c r="L312" s="75" t="s">
        <v>336</v>
      </c>
      <c r="M312" s="82"/>
      <c r="N312" s="82"/>
      <c r="O312" s="75"/>
    </row>
    <row r="313" spans="1:15" s="83" customFormat="1">
      <c r="A313" s="80"/>
      <c r="B313" s="71">
        <v>260</v>
      </c>
      <c r="C313" s="88" t="s">
        <v>778</v>
      </c>
      <c r="D313" s="88"/>
      <c r="E313" s="88" t="s">
        <v>779</v>
      </c>
      <c r="F313" s="75"/>
      <c r="G313" s="82" t="s">
        <v>334</v>
      </c>
      <c r="H313" s="82" t="s">
        <v>341</v>
      </c>
      <c r="I313" s="75" t="s">
        <v>76</v>
      </c>
      <c r="J313" s="75"/>
      <c r="K313" s="75" t="s">
        <v>1204</v>
      </c>
      <c r="L313" s="75" t="s">
        <v>336</v>
      </c>
      <c r="M313" s="82"/>
      <c r="N313" s="82"/>
      <c r="O313" s="75"/>
    </row>
    <row r="314" spans="1:15" s="83" customFormat="1" ht="45">
      <c r="A314" s="80"/>
      <c r="B314" s="71">
        <v>261</v>
      </c>
      <c r="C314" s="88" t="s">
        <v>780</v>
      </c>
      <c r="D314" s="88"/>
      <c r="E314" s="88" t="s">
        <v>781</v>
      </c>
      <c r="F314" s="75"/>
      <c r="G314" s="82" t="s">
        <v>334</v>
      </c>
      <c r="H314" s="82" t="s">
        <v>341</v>
      </c>
      <c r="I314" s="75" t="s">
        <v>76</v>
      </c>
      <c r="J314" s="75"/>
      <c r="K314" s="75" t="s">
        <v>1204</v>
      </c>
      <c r="L314" s="75" t="s">
        <v>336</v>
      </c>
      <c r="M314" s="82"/>
      <c r="N314" s="82"/>
      <c r="O314" s="75"/>
    </row>
    <row r="315" spans="1:15" s="83" customFormat="1" ht="45">
      <c r="A315" s="80"/>
      <c r="B315" s="71">
        <v>262</v>
      </c>
      <c r="C315" s="88" t="s">
        <v>782</v>
      </c>
      <c r="D315" s="88"/>
      <c r="E315" s="88" t="s">
        <v>783</v>
      </c>
      <c r="F315" s="75"/>
      <c r="G315" s="82" t="s">
        <v>334</v>
      </c>
      <c r="H315" s="82" t="s">
        <v>341</v>
      </c>
      <c r="I315" s="75" t="s">
        <v>76</v>
      </c>
      <c r="J315" s="75"/>
      <c r="K315" s="75" t="s">
        <v>1204</v>
      </c>
      <c r="L315" s="75" t="s">
        <v>336</v>
      </c>
      <c r="M315" s="82"/>
      <c r="N315" s="82"/>
      <c r="O315" s="75"/>
    </row>
    <row r="316" spans="1:15" s="83" customFormat="1" ht="30">
      <c r="A316" s="80"/>
      <c r="B316" s="71">
        <v>263</v>
      </c>
      <c r="C316" s="88" t="s">
        <v>784</v>
      </c>
      <c r="D316" s="88"/>
      <c r="E316" s="88" t="s">
        <v>785</v>
      </c>
      <c r="F316" s="75"/>
      <c r="G316" s="82" t="s">
        <v>334</v>
      </c>
      <c r="H316" s="82" t="s">
        <v>341</v>
      </c>
      <c r="I316" s="75" t="s">
        <v>76</v>
      </c>
      <c r="J316" s="75"/>
      <c r="K316" s="75" t="s">
        <v>1204</v>
      </c>
      <c r="L316" s="75" t="s">
        <v>1201</v>
      </c>
      <c r="M316" s="82"/>
      <c r="N316" s="82"/>
      <c r="O316" s="75"/>
    </row>
    <row r="317" spans="1:15" s="83" customFormat="1" ht="30">
      <c r="A317" s="80"/>
      <c r="B317" s="71">
        <v>264</v>
      </c>
      <c r="C317" s="88" t="s">
        <v>786</v>
      </c>
      <c r="D317" s="88"/>
      <c r="E317" s="88" t="s">
        <v>787</v>
      </c>
      <c r="F317" s="75"/>
      <c r="G317" s="82" t="s">
        <v>334</v>
      </c>
      <c r="H317" s="82" t="s">
        <v>341</v>
      </c>
      <c r="I317" s="75" t="s">
        <v>76</v>
      </c>
      <c r="J317" s="75"/>
      <c r="K317" s="75" t="s">
        <v>1204</v>
      </c>
      <c r="L317" s="75" t="s">
        <v>1201</v>
      </c>
      <c r="M317" s="82"/>
      <c r="N317" s="82"/>
      <c r="O317" s="75"/>
    </row>
    <row r="318" spans="1:15" ht="15.75" thickBot="1"/>
    <row r="319" spans="1:15" ht="15.75" thickBot="1">
      <c r="C319" s="101" t="s">
        <v>788</v>
      </c>
      <c r="D319" s="102">
        <f>COUNTA(A2:A317)</f>
        <v>13</v>
      </c>
    </row>
    <row r="320" spans="1:15" ht="15.75" thickBot="1">
      <c r="C320" s="103" t="s">
        <v>789</v>
      </c>
      <c r="D320" s="101">
        <f>COUNT(B2:B317)</f>
        <v>264</v>
      </c>
    </row>
  </sheetData>
  <autoFilter ref="A1:O317" xr:uid="{8F62736E-1AD3-4887-9C04-F2765A3E4CE9}"/>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M60"/>
  <sheetViews>
    <sheetView tabSelected="1" zoomScaleNormal="98" workbookViewId="0">
      <pane xSplit="5" ySplit="1" topLeftCell="F2" activePane="bottomRight" state="frozen"/>
      <selection pane="topRight"/>
      <selection pane="bottomLeft"/>
      <selection pane="bottomRight"/>
    </sheetView>
  </sheetViews>
  <sheetFormatPr defaultRowHeight="15"/>
  <cols>
    <col min="1" max="1" customWidth="true" width="6.0" collapsed="true"/>
    <col min="2" max="2" bestFit="true" customWidth="true" width="16.7109375" collapsed="true"/>
    <col min="3" max="3" bestFit="true" customWidth="true" width="15.0" collapsed="true"/>
    <col min="4" max="4" customWidth="true" width="18.0" collapsed="true"/>
    <col min="5" max="5" bestFit="true" customWidth="true" width="10.7109375" collapsed="true"/>
    <col min="6" max="6" bestFit="true" customWidth="true" width="13.28515625" collapsed="true"/>
    <col min="7" max="7" customWidth="true" width="11.0" collapsed="true"/>
    <col min="8" max="8" customWidth="true" width="12.42578125" collapsed="true"/>
    <col min="9" max="9" customWidth="true" width="19.42578125" collapsed="true"/>
    <col min="10" max="10" customWidth="true" width="17.5703125" collapsed="true"/>
  </cols>
  <sheetData>
    <row r="1" spans="1:65" s="10" customFormat="1" ht="105" customHeight="1">
      <c r="A1" s="6" t="s">
        <v>1169</v>
      </c>
      <c r="B1" s="5" t="s">
        <v>19</v>
      </c>
      <c r="C1" s="5" t="s">
        <v>20</v>
      </c>
      <c r="D1" s="5" t="s">
        <v>3</v>
      </c>
      <c r="E1" s="5" t="s">
        <v>21</v>
      </c>
      <c r="F1" s="5" t="s">
        <v>22</v>
      </c>
      <c r="G1" s="5" t="s">
        <v>23</v>
      </c>
      <c r="H1" s="5" t="s">
        <v>24</v>
      </c>
      <c r="I1" s="5" t="s">
        <v>25</v>
      </c>
      <c r="J1" s="5" t="s">
        <v>26</v>
      </c>
      <c r="K1" s="5" t="s">
        <v>27</v>
      </c>
      <c r="L1" s="5" t="s">
        <v>28</v>
      </c>
      <c r="M1" s="5" t="s">
        <v>29</v>
      </c>
      <c r="N1" s="5" t="s">
        <v>30</v>
      </c>
      <c r="O1" s="5" t="s">
        <v>31</v>
      </c>
      <c r="P1" s="5" t="s">
        <v>32</v>
      </c>
      <c r="Q1" s="5" t="s">
        <v>33</v>
      </c>
      <c r="R1" s="5" t="s">
        <v>1200</v>
      </c>
      <c r="S1" s="7" t="s">
        <v>34</v>
      </c>
      <c r="T1" s="5" t="s">
        <v>35</v>
      </c>
      <c r="U1" s="5" t="s">
        <v>8</v>
      </c>
      <c r="V1" s="7" t="s">
        <v>36</v>
      </c>
      <c r="W1" s="7" t="s">
        <v>37</v>
      </c>
      <c r="X1" s="5" t="s">
        <v>1196</v>
      </c>
      <c r="Y1" s="7" t="s">
        <v>38</v>
      </c>
      <c r="Z1" s="5" t="s">
        <v>39</v>
      </c>
      <c r="AA1" s="5" t="s">
        <v>40</v>
      </c>
      <c r="AB1" s="8" t="s">
        <v>41</v>
      </c>
      <c r="AC1" s="5" t="s">
        <v>9</v>
      </c>
      <c r="AD1" s="8" t="s">
        <v>42</v>
      </c>
      <c r="AE1" s="8" t="s">
        <v>43</v>
      </c>
      <c r="AF1" s="8" t="s">
        <v>44</v>
      </c>
      <c r="AG1" s="8" t="s">
        <v>45</v>
      </c>
      <c r="AH1" s="5" t="s">
        <v>46</v>
      </c>
      <c r="AI1" s="5" t="s">
        <v>47</v>
      </c>
      <c r="AJ1" s="5" t="s">
        <v>48</v>
      </c>
      <c r="AK1" s="9" t="s">
        <v>49</v>
      </c>
      <c r="AL1" s="5" t="s">
        <v>50</v>
      </c>
      <c r="AM1" s="5" t="s">
        <v>51</v>
      </c>
      <c r="AN1" s="5" t="s">
        <v>1197</v>
      </c>
      <c r="AO1" s="5" t="s">
        <v>52</v>
      </c>
      <c r="AP1" s="5" t="s">
        <v>53</v>
      </c>
      <c r="AQ1" s="5" t="s">
        <v>54</v>
      </c>
      <c r="AR1" s="5" t="s">
        <v>1198</v>
      </c>
      <c r="AS1" s="5" t="s">
        <v>55</v>
      </c>
      <c r="AT1" s="5" t="s">
        <v>56</v>
      </c>
      <c r="AU1" s="5" t="s">
        <v>57</v>
      </c>
      <c r="AV1" s="5" t="s">
        <v>58</v>
      </c>
      <c r="AW1" s="5" t="s">
        <v>59</v>
      </c>
      <c r="AX1" s="5" t="s">
        <v>60</v>
      </c>
      <c r="AY1" s="5" t="s">
        <v>61</v>
      </c>
      <c r="AZ1" s="5" t="s">
        <v>62</v>
      </c>
      <c r="BA1" s="5" t="s">
        <v>63</v>
      </c>
      <c r="BB1" s="5" t="s">
        <v>64</v>
      </c>
      <c r="BC1" s="8" t="s">
        <v>65</v>
      </c>
      <c r="BD1" s="5" t="s">
        <v>66</v>
      </c>
      <c r="BE1" s="5" t="s">
        <v>67</v>
      </c>
      <c r="BF1" s="5" t="s">
        <v>68</v>
      </c>
      <c r="BG1" s="5" t="s">
        <v>69</v>
      </c>
      <c r="BH1" s="5" t="s">
        <v>79</v>
      </c>
      <c r="BI1" s="5" t="s">
        <v>70</v>
      </c>
      <c r="BJ1" s="5" t="s">
        <v>71</v>
      </c>
      <c r="BK1" s="5" t="s">
        <v>72</v>
      </c>
      <c r="BL1" s="5" t="s">
        <v>73</v>
      </c>
      <c r="BM1" s="5" t="s">
        <v>78</v>
      </c>
      <c r="BN1" t="s">
        <v>794</v>
      </c>
    </row>
    <row r="2" spans="1:65" s="11" customFormat="1">
      <c r="A2" s="22"/>
      <c r="B2" s="23" t="s">
        <v>116</v>
      </c>
      <c r="C2" s="24"/>
      <c r="D2" s="25"/>
      <c r="E2" s="25"/>
      <c r="F2" s="25"/>
      <c r="G2" s="25"/>
      <c r="H2" s="25"/>
      <c r="I2" s="25"/>
      <c r="J2" s="25"/>
      <c r="K2" s="26"/>
      <c r="L2" s="26"/>
      <c r="M2" s="26"/>
      <c r="N2" s="26"/>
      <c r="O2" s="26"/>
      <c r="P2" s="22"/>
      <c r="Q2" s="21"/>
      <c r="R2" s="21"/>
      <c r="S2" s="27"/>
      <c r="T2" s="27"/>
      <c r="U2" s="27"/>
      <c r="V2" s="21"/>
      <c r="W2" s="21"/>
      <c r="X2" s="21"/>
      <c r="Y2" s="27"/>
      <c r="Z2" s="27"/>
      <c r="AA2" s="21"/>
      <c r="AB2" s="21"/>
      <c r="AC2" s="27"/>
      <c r="AD2" s="27"/>
      <c r="AE2" s="21"/>
      <c r="AF2" s="27"/>
      <c r="AG2" s="27"/>
      <c r="AH2" s="21"/>
      <c r="AI2" s="27"/>
      <c r="AJ2" s="21"/>
      <c r="AK2" s="27"/>
      <c r="AL2" s="27"/>
      <c r="AM2" s="21"/>
      <c r="AN2" s="21"/>
      <c r="AO2" s="22"/>
      <c r="AP2" s="27"/>
      <c r="AQ2" s="28"/>
      <c r="AR2" s="28"/>
      <c r="AS2" s="21"/>
      <c r="AT2" s="21"/>
      <c r="AU2" s="21"/>
      <c r="AV2" s="21"/>
      <c r="AW2" s="27"/>
      <c r="AX2" s="21"/>
      <c r="AY2" s="21"/>
      <c r="AZ2" s="21"/>
      <c r="BA2" s="21"/>
      <c r="BB2" s="21"/>
      <c r="BC2" s="21"/>
      <c r="BD2" s="21"/>
      <c r="BE2" s="21"/>
      <c r="BF2" s="21"/>
      <c r="BG2" s="21"/>
      <c r="BH2" s="21"/>
      <c r="BI2" s="21"/>
      <c r="BJ2" s="21"/>
      <c r="BK2" s="21"/>
      <c r="BL2" s="21"/>
      <c r="BM2" s="21"/>
      <c r="BN2" t="s">
        <v>1205</v>
      </c>
    </row>
    <row r="3" spans="1:65" s="11" customFormat="1">
      <c r="A3" s="13">
        <v>1</v>
      </c>
      <c r="B3" s="29" t="s">
        <v>80</v>
      </c>
      <c r="C3" s="30" t="s">
        <v>115</v>
      </c>
      <c r="D3" s="12" t="s">
        <v>16</v>
      </c>
      <c r="E3" s="15" t="s">
        <v>6</v>
      </c>
      <c r="F3" s="14" t="s">
        <v>11</v>
      </c>
      <c r="G3" s="14"/>
      <c r="H3" s="14" t="s">
        <v>14</v>
      </c>
      <c r="I3" s="14" t="s">
        <v>14</v>
      </c>
      <c r="J3" s="31" t="s">
        <v>77</v>
      </c>
      <c r="K3" s="31" t="s">
        <v>74</v>
      </c>
      <c r="L3" s="15" t="s">
        <v>13</v>
      </c>
      <c r="M3" s="14" t="s">
        <v>75</v>
      </c>
      <c r="N3" s="14">
        <v>0</v>
      </c>
      <c r="O3" s="19">
        <v>1</v>
      </c>
      <c r="P3" s="12">
        <v>1.98</v>
      </c>
      <c r="Q3" s="12">
        <v>0</v>
      </c>
      <c r="R3" s="12">
        <v>0</v>
      </c>
      <c r="S3" s="12">
        <f>ROUND(O3*P3,2)</f>
        <v>1.98</v>
      </c>
      <c r="T3" s="12" t="s">
        <v>10</v>
      </c>
      <c r="U3" s="4">
        <v>0</v>
      </c>
      <c r="V3" s="4">
        <v>0</v>
      </c>
      <c r="W3" s="12">
        <v>0.45</v>
      </c>
      <c r="X3" s="4">
        <v>0</v>
      </c>
      <c r="Y3" s="12">
        <f>ROUND(S3+(O3*W3),2)</f>
        <v>2.4300000000000002</v>
      </c>
      <c r="Z3" s="12" t="s">
        <v>10</v>
      </c>
      <c r="AA3" s="4">
        <v>0</v>
      </c>
      <c r="AB3" s="4">
        <f t="shared" ref="AB3:AB5" si="0">U3</f>
        <v>0</v>
      </c>
      <c r="AC3" s="12">
        <v>7.85</v>
      </c>
      <c r="AD3" s="4">
        <v>0</v>
      </c>
      <c r="AE3" s="16">
        <f>ROUND((Y3+AP3+BB3)*AC3/100,2)</f>
        <v>4.66</v>
      </c>
      <c r="AF3" s="12">
        <v>54.62</v>
      </c>
      <c r="AG3" s="16">
        <f>ROUND(Y3+AP3+AE3+BC3,2)</f>
        <v>63.96</v>
      </c>
      <c r="AH3" s="12">
        <v>2</v>
      </c>
      <c r="AI3" s="12">
        <v>4</v>
      </c>
      <c r="AJ3" s="17" t="s">
        <v>12</v>
      </c>
      <c r="AK3" s="18">
        <v>0</v>
      </c>
      <c r="AL3" s="12">
        <v>2</v>
      </c>
      <c r="AM3" s="12" t="s">
        <v>76</v>
      </c>
      <c r="AN3" s="12" t="s">
        <v>76</v>
      </c>
      <c r="AO3" s="12">
        <v>0</v>
      </c>
      <c r="AP3" s="12">
        <f>ROUND(AF3*O3,2)</f>
        <v>54.62</v>
      </c>
      <c r="AQ3" s="12">
        <f>ROUND(O3*W3,2)</f>
        <v>0.45</v>
      </c>
      <c r="AR3" s="12">
        <v>0</v>
      </c>
      <c r="AS3" s="12">
        <v>0</v>
      </c>
      <c r="AT3" s="12">
        <v>0</v>
      </c>
      <c r="AU3" s="12">
        <v>0</v>
      </c>
      <c r="AV3" s="12">
        <v>0</v>
      </c>
      <c r="AW3" s="12">
        <v>0</v>
      </c>
      <c r="AX3" s="12"/>
      <c r="AY3" s="12"/>
      <c r="AZ3" s="12"/>
      <c r="BA3" s="12"/>
      <c r="BB3" s="16">
        <v>2.25</v>
      </c>
      <c r="BC3" s="16">
        <f>ROUND((AD3+BB3),2)</f>
        <v>2.25</v>
      </c>
      <c r="BD3" s="12" t="s">
        <v>10</v>
      </c>
      <c r="BE3" s="12" t="s">
        <v>10</v>
      </c>
      <c r="BF3" s="12">
        <v>0</v>
      </c>
      <c r="BG3" s="12">
        <v>0</v>
      </c>
      <c r="BH3" s="12">
        <v>0</v>
      </c>
      <c r="BI3" s="12" t="s">
        <v>15</v>
      </c>
      <c r="BJ3" s="12" t="s">
        <v>15</v>
      </c>
      <c r="BK3" s="12" t="s">
        <v>15</v>
      </c>
      <c r="BL3" s="12"/>
      <c r="BM3" s="12" t="s">
        <v>15</v>
      </c>
      <c r="BN3" t="s">
        <v>1055</v>
      </c>
    </row>
    <row r="4" spans="1:65" s="11" customFormat="1">
      <c r="A4" s="13">
        <v>2</v>
      </c>
      <c r="B4" s="32" t="s">
        <v>91</v>
      </c>
      <c r="C4" s="30" t="s">
        <v>115</v>
      </c>
      <c r="D4" s="12" t="s">
        <v>16</v>
      </c>
      <c r="E4" s="15" t="s">
        <v>6</v>
      </c>
      <c r="F4" s="14" t="s">
        <v>11</v>
      </c>
      <c r="G4" s="14"/>
      <c r="H4" s="14" t="s">
        <v>15</v>
      </c>
      <c r="I4" s="14" t="s">
        <v>15</v>
      </c>
      <c r="J4" s="31" t="s">
        <v>92</v>
      </c>
      <c r="K4" s="31" t="s">
        <v>74</v>
      </c>
      <c r="L4" s="15" t="s">
        <v>13</v>
      </c>
      <c r="M4" s="14" t="s">
        <v>75</v>
      </c>
      <c r="N4" s="14">
        <v>0</v>
      </c>
      <c r="O4" s="19">
        <v>50</v>
      </c>
      <c r="P4" s="12">
        <v>12.742000000000001</v>
      </c>
      <c r="Q4" s="12">
        <v>0</v>
      </c>
      <c r="R4" s="12">
        <v>0</v>
      </c>
      <c r="S4" s="12">
        <f>ROUND(O4*P4,3)</f>
        <v>637.1</v>
      </c>
      <c r="T4" s="12" t="s">
        <v>10</v>
      </c>
      <c r="U4" s="12">
        <v>0</v>
      </c>
      <c r="V4" s="12">
        <v>0</v>
      </c>
      <c r="W4" s="12">
        <v>1.2310000000000001</v>
      </c>
      <c r="X4" s="12">
        <v>0</v>
      </c>
      <c r="Y4" s="12">
        <f>ROUND(S4+(O4*W4),3)</f>
        <v>698.65</v>
      </c>
      <c r="Z4" s="12" t="s">
        <v>10</v>
      </c>
      <c r="AA4" s="12">
        <v>0</v>
      </c>
      <c r="AB4" s="12">
        <f t="shared" si="0"/>
        <v>0</v>
      </c>
      <c r="AC4" s="18">
        <v>8.1199999999999992</v>
      </c>
      <c r="AD4" s="12">
        <v>0</v>
      </c>
      <c r="AE4" s="18">
        <f>ROUND((Y4+AP4+BB4)*AC4/100,3)</f>
        <v>96.123999999999995</v>
      </c>
      <c r="AF4" s="12">
        <v>9.5670000000000002</v>
      </c>
      <c r="AG4" s="18">
        <f>ROUND(Y4+AP4+AE4+BC4,3)</f>
        <v>1279.913</v>
      </c>
      <c r="AH4" s="12">
        <v>3</v>
      </c>
      <c r="AI4" s="12">
        <v>2</v>
      </c>
      <c r="AJ4" s="17" t="s">
        <v>12</v>
      </c>
      <c r="AK4" s="18">
        <v>0</v>
      </c>
      <c r="AL4" s="12">
        <v>3</v>
      </c>
      <c r="AM4" s="12" t="s">
        <v>76</v>
      </c>
      <c r="AN4" s="12" t="s">
        <v>76</v>
      </c>
      <c r="AO4" s="12">
        <v>0</v>
      </c>
      <c r="AP4" s="12">
        <f>ROUND(AF4*O4,3)</f>
        <v>478.35</v>
      </c>
      <c r="AQ4" s="12">
        <f>ROUND(O4*W4,3)</f>
        <v>61.55</v>
      </c>
      <c r="AR4" s="12">
        <v>0</v>
      </c>
      <c r="AS4" s="12">
        <v>0</v>
      </c>
      <c r="AT4" s="12">
        <v>0</v>
      </c>
      <c r="AU4" s="12">
        <v>0</v>
      </c>
      <c r="AV4" s="12">
        <v>0</v>
      </c>
      <c r="AW4" s="12">
        <v>0</v>
      </c>
      <c r="AX4" s="12"/>
      <c r="AY4" s="12"/>
      <c r="AZ4" s="12"/>
      <c r="BA4" s="12"/>
      <c r="BB4" s="33">
        <v>6.7889999999999997</v>
      </c>
      <c r="BC4" s="18">
        <f>ROUND((AD4+BB4),3)</f>
        <v>6.7889999999999997</v>
      </c>
      <c r="BD4" s="12" t="s">
        <v>10</v>
      </c>
      <c r="BE4" s="12" t="s">
        <v>10</v>
      </c>
      <c r="BF4" s="12">
        <v>0</v>
      </c>
      <c r="BG4" s="12">
        <v>0</v>
      </c>
      <c r="BH4" s="12">
        <v>0</v>
      </c>
      <c r="BI4" s="12" t="s">
        <v>15</v>
      </c>
      <c r="BJ4" s="12" t="s">
        <v>15</v>
      </c>
      <c r="BK4" s="12" t="s">
        <v>15</v>
      </c>
      <c r="BL4" s="12"/>
      <c r="BM4" s="12" t="s">
        <v>15</v>
      </c>
      <c r="BN4" t="s">
        <v>1055</v>
      </c>
    </row>
    <row r="5" spans="1:65" s="11" customFormat="1">
      <c r="A5" s="13">
        <v>3</v>
      </c>
      <c r="B5" s="34" t="s">
        <v>93</v>
      </c>
      <c r="C5" s="30" t="s">
        <v>115</v>
      </c>
      <c r="D5" s="124" t="s">
        <v>1195</v>
      </c>
      <c r="E5" s="15" t="s">
        <v>6</v>
      </c>
      <c r="F5" s="14" t="s">
        <v>11</v>
      </c>
      <c r="G5" s="14"/>
      <c r="H5" s="14" t="s">
        <v>14</v>
      </c>
      <c r="I5" s="14" t="s">
        <v>94</v>
      </c>
      <c r="J5" s="31" t="s">
        <v>95</v>
      </c>
      <c r="K5" s="31" t="s">
        <v>74</v>
      </c>
      <c r="L5" s="15" t="s">
        <v>13</v>
      </c>
      <c r="M5" s="14" t="s">
        <v>75</v>
      </c>
      <c r="N5" s="14">
        <v>0</v>
      </c>
      <c r="O5" s="19">
        <v>7</v>
      </c>
      <c r="P5" s="12">
        <v>0.6421</v>
      </c>
      <c r="Q5" s="12">
        <v>0</v>
      </c>
      <c r="R5" s="12">
        <v>0</v>
      </c>
      <c r="S5" s="12">
        <f>ROUND(O5*P5,4)</f>
        <v>4.4946999999999999</v>
      </c>
      <c r="T5" s="12" t="s">
        <v>10</v>
      </c>
      <c r="U5" s="12">
        <v>0</v>
      </c>
      <c r="V5" s="12">
        <v>0</v>
      </c>
      <c r="W5" s="12">
        <v>2.2355999999999998</v>
      </c>
      <c r="X5" s="12">
        <v>0</v>
      </c>
      <c r="Y5" s="12">
        <f>ROUND(S5+(O5*W5),4)</f>
        <v>20.143899999999999</v>
      </c>
      <c r="Z5" s="12" t="s">
        <v>10</v>
      </c>
      <c r="AA5" s="12">
        <v>0</v>
      </c>
      <c r="AB5" s="12">
        <f t="shared" si="0"/>
        <v>0</v>
      </c>
      <c r="AC5" s="35">
        <v>9.65</v>
      </c>
      <c r="AD5" s="12">
        <v>0</v>
      </c>
      <c r="AE5" s="35">
        <f>ROUND((Y5+AP5+BB5)*AC5/100,4)</f>
        <v>10.7178</v>
      </c>
      <c r="AF5" s="12">
        <v>12.4321</v>
      </c>
      <c r="AG5" s="35">
        <f>ROUND(Y5+AP5+AE5+BC5,4)</f>
        <v>121.7831</v>
      </c>
      <c r="AH5" s="12">
        <v>4</v>
      </c>
      <c r="AI5" s="12">
        <v>3</v>
      </c>
      <c r="AJ5" s="17" t="s">
        <v>12</v>
      </c>
      <c r="AK5" s="18">
        <v>0</v>
      </c>
      <c r="AL5" s="12">
        <v>4</v>
      </c>
      <c r="AM5" s="12" t="s">
        <v>76</v>
      </c>
      <c r="AN5" s="12" t="s">
        <v>76</v>
      </c>
      <c r="AO5" s="12">
        <v>0</v>
      </c>
      <c r="AP5" s="12">
        <f>ROUND(AF5*O5,4)</f>
        <v>87.024699999999996</v>
      </c>
      <c r="AQ5" s="12">
        <f>ROUND(O5*W5,4)</f>
        <v>15.6492</v>
      </c>
      <c r="AR5" s="12">
        <v>0</v>
      </c>
      <c r="AS5" s="12">
        <v>0</v>
      </c>
      <c r="AT5" s="12">
        <v>0</v>
      </c>
      <c r="AU5" s="12">
        <v>0</v>
      </c>
      <c r="AV5" s="12">
        <v>0</v>
      </c>
      <c r="AW5" s="12">
        <v>0</v>
      </c>
      <c r="AX5" s="12"/>
      <c r="AY5" s="12"/>
      <c r="AZ5" s="12"/>
      <c r="BA5" s="12"/>
      <c r="BB5" s="12">
        <v>3.8967000000000001</v>
      </c>
      <c r="BC5" s="35">
        <f>ROUND((AD5+BB5),4)</f>
        <v>3.8967000000000001</v>
      </c>
      <c r="BD5" s="12" t="s">
        <v>10</v>
      </c>
      <c r="BE5" s="12" t="s">
        <v>10</v>
      </c>
      <c r="BF5" s="12">
        <v>0</v>
      </c>
      <c r="BG5" s="12">
        <v>0</v>
      </c>
      <c r="BH5" s="12">
        <v>0</v>
      </c>
      <c r="BI5" s="12" t="s">
        <v>15</v>
      </c>
      <c r="BJ5" s="12" t="s">
        <v>15</v>
      </c>
      <c r="BK5" s="12" t="s">
        <v>15</v>
      </c>
      <c r="BL5" s="12"/>
      <c r="BM5" s="12" t="s">
        <v>15</v>
      </c>
      <c r="BN5" t="s">
        <v>1055</v>
      </c>
    </row>
    <row r="6" spans="1:65">
      <c r="A6" s="13">
        <v>4</v>
      </c>
      <c r="B6" s="29" t="s">
        <v>80</v>
      </c>
      <c r="C6" s="15" t="s">
        <v>115</v>
      </c>
      <c r="D6" s="36" t="s">
        <v>526</v>
      </c>
      <c r="E6" s="15" t="s">
        <v>6</v>
      </c>
      <c r="F6" s="36" t="s">
        <v>11</v>
      </c>
      <c r="G6" s="36"/>
      <c r="H6" s="14" t="s">
        <v>14</v>
      </c>
      <c r="I6" s="36"/>
      <c r="J6" s="31" t="s">
        <v>97</v>
      </c>
      <c r="K6" s="31" t="s">
        <v>74</v>
      </c>
      <c r="L6" s="36" t="s">
        <v>13</v>
      </c>
      <c r="M6" s="36" t="s">
        <v>75</v>
      </c>
      <c r="N6" s="37">
        <v>0</v>
      </c>
      <c r="O6" s="38">
        <v>1</v>
      </c>
      <c r="P6" s="126">
        <v>0</v>
      </c>
      <c r="Q6" s="38">
        <v>0</v>
      </c>
      <c r="R6" s="4">
        <v>10.234</v>
      </c>
      <c r="S6" s="4">
        <f>ROUND(R6,2)</f>
        <v>10.23</v>
      </c>
      <c r="T6" s="1" t="s">
        <v>10</v>
      </c>
      <c r="U6" s="4">
        <v>0</v>
      </c>
      <c r="V6" s="4">
        <v>0</v>
      </c>
      <c r="W6" s="4">
        <v>0</v>
      </c>
      <c r="X6" s="1">
        <v>0</v>
      </c>
      <c r="Y6" s="12">
        <f>ROUND(S6+(O6*W6 + O6*X6),2)</f>
        <v>10.23</v>
      </c>
      <c r="Z6" s="39" t="s">
        <v>10</v>
      </c>
      <c r="AA6" s="4">
        <v>0</v>
      </c>
      <c r="AB6" s="4">
        <v>0</v>
      </c>
      <c r="AC6" s="12">
        <v>7.85</v>
      </c>
      <c r="AD6" s="4">
        <v>0</v>
      </c>
      <c r="AE6" s="16">
        <f>ROUND((Y6+AP6+BB6)*AC6/100,2)</f>
        <v>0.8</v>
      </c>
      <c r="AF6" s="39">
        <v>0</v>
      </c>
      <c r="AG6" s="16">
        <f>ROUND(Y6+AP6+AE6+BC6,2)</f>
        <v>11.03</v>
      </c>
      <c r="AH6" s="1">
        <v>2</v>
      </c>
      <c r="AI6" s="12">
        <v>4</v>
      </c>
      <c r="AJ6" s="17" t="s">
        <v>12</v>
      </c>
      <c r="AK6" s="18">
        <v>0</v>
      </c>
      <c r="AL6" s="12">
        <v>2</v>
      </c>
      <c r="AM6" s="12" t="s">
        <v>76</v>
      </c>
      <c r="AN6" s="12" t="s">
        <v>76</v>
      </c>
      <c r="AO6" s="1">
        <v>0</v>
      </c>
      <c r="AP6" s="12">
        <f t="shared" ref="AP6" si="1">ROUND(AF6*O6,4)</f>
        <v>0</v>
      </c>
      <c r="AQ6" s="12">
        <f>ROUND(O6*W6,2)</f>
        <v>0</v>
      </c>
      <c r="AR6" s="12">
        <f>ROUND(O6*X6,2)</f>
        <v>0</v>
      </c>
      <c r="AS6" s="1">
        <v>0</v>
      </c>
      <c r="AT6" s="1">
        <v>0</v>
      </c>
      <c r="AU6" s="1">
        <v>0</v>
      </c>
      <c r="AV6" s="1">
        <v>0</v>
      </c>
      <c r="AW6" s="1">
        <v>0</v>
      </c>
      <c r="AX6" s="1"/>
      <c r="AY6" s="1"/>
      <c r="AZ6" s="1"/>
      <c r="BA6" s="1"/>
      <c r="BB6" s="12">
        <v>0</v>
      </c>
      <c r="BC6" s="1">
        <v>0</v>
      </c>
      <c r="BD6" s="1" t="s">
        <v>10</v>
      </c>
      <c r="BE6" s="1" t="s">
        <v>10</v>
      </c>
      <c r="BF6" s="1">
        <v>0</v>
      </c>
      <c r="BG6" s="1">
        <v>0</v>
      </c>
      <c r="BH6" s="1">
        <v>0</v>
      </c>
      <c r="BI6" s="12" t="s">
        <v>15</v>
      </c>
      <c r="BJ6" s="12" t="s">
        <v>15</v>
      </c>
      <c r="BK6" s="12" t="s">
        <v>15</v>
      </c>
      <c r="BL6" s="1"/>
      <c r="BM6" s="1" t="s">
        <v>15</v>
      </c>
      <c r="BN6" t="s">
        <v>1055</v>
      </c>
    </row>
    <row r="7" spans="1:65" s="11" customFormat="1">
      <c r="A7" s="13"/>
      <c r="B7" s="23" t="s">
        <v>117</v>
      </c>
      <c r="C7" s="24"/>
      <c r="D7" s="25"/>
      <c r="E7" s="25"/>
      <c r="F7" s="25"/>
      <c r="G7" s="25"/>
      <c r="H7" s="25"/>
      <c r="I7" s="25"/>
      <c r="J7" s="25"/>
      <c r="K7" s="26"/>
      <c r="L7" s="26"/>
      <c r="M7" s="26"/>
      <c r="N7" s="26"/>
      <c r="O7" s="26"/>
      <c r="P7" s="22"/>
      <c r="Q7" s="21"/>
      <c r="R7" s="21"/>
      <c r="S7" s="27"/>
      <c r="T7" s="27"/>
      <c r="U7" s="27"/>
      <c r="V7" s="21"/>
      <c r="W7" s="21"/>
      <c r="X7" s="21"/>
      <c r="Y7" s="27"/>
      <c r="Z7" s="27"/>
      <c r="AA7" s="21"/>
      <c r="AB7" s="21"/>
      <c r="AC7" s="27"/>
      <c r="AD7" s="27"/>
      <c r="AE7" s="21"/>
      <c r="AF7" s="27"/>
      <c r="AG7" s="27"/>
      <c r="AH7" s="21"/>
      <c r="AI7" s="27"/>
      <c r="AJ7" s="21"/>
      <c r="AK7" s="27"/>
      <c r="AL7" s="27"/>
      <c r="AM7" s="21"/>
      <c r="AN7" s="21"/>
      <c r="AO7" s="22"/>
      <c r="AP7" s="27"/>
      <c r="AQ7" s="28"/>
      <c r="AR7" s="28"/>
      <c r="AS7" s="21"/>
      <c r="AT7" s="21"/>
      <c r="AU7" s="21"/>
      <c r="AV7" s="21"/>
      <c r="AW7" s="27"/>
      <c r="AX7" s="21"/>
      <c r="AY7" s="21"/>
      <c r="AZ7" s="21"/>
      <c r="BA7" s="21"/>
      <c r="BB7" s="12"/>
      <c r="BC7" s="21"/>
      <c r="BD7" s="21"/>
      <c r="BE7" s="21"/>
      <c r="BF7" s="21"/>
      <c r="BG7" s="21"/>
      <c r="BH7" s="21"/>
      <c r="BI7" s="21"/>
      <c r="BJ7" s="21"/>
      <c r="BK7" s="21"/>
      <c r="BL7" s="21"/>
      <c r="BM7" s="21"/>
      <c r="BN7" t="s">
        <v>1205</v>
      </c>
    </row>
    <row r="8" spans="1:65" s="11" customFormat="1">
      <c r="A8" s="22">
        <v>5</v>
      </c>
      <c r="B8" s="29" t="s">
        <v>80</v>
      </c>
      <c r="C8" s="15" t="s">
        <v>115</v>
      </c>
      <c r="D8" s="15" t="s">
        <v>16</v>
      </c>
      <c r="E8" s="15" t="s">
        <v>6</v>
      </c>
      <c r="F8" s="14" t="s">
        <v>11</v>
      </c>
      <c r="G8" s="14"/>
      <c r="H8" s="14" t="s">
        <v>14</v>
      </c>
      <c r="I8" s="14" t="s">
        <v>14</v>
      </c>
      <c r="J8" s="14" t="s">
        <v>77</v>
      </c>
      <c r="K8" s="14" t="s">
        <v>74</v>
      </c>
      <c r="L8" s="15" t="s">
        <v>13</v>
      </c>
      <c r="M8" s="14" t="s">
        <v>75</v>
      </c>
      <c r="N8" s="14">
        <v>0</v>
      </c>
      <c r="O8" s="19">
        <v>2</v>
      </c>
      <c r="P8" s="12">
        <v>0</v>
      </c>
      <c r="Q8" s="12">
        <v>120.98</v>
      </c>
      <c r="R8" s="12">
        <v>0</v>
      </c>
      <c r="S8" s="12">
        <f>ROUND(Q8,2)</f>
        <v>120.98</v>
      </c>
      <c r="T8" s="12" t="s">
        <v>10</v>
      </c>
      <c r="U8" s="4">
        <v>0</v>
      </c>
      <c r="V8" s="4">
        <v>0</v>
      </c>
      <c r="W8" s="12">
        <v>0.45</v>
      </c>
      <c r="X8" s="12">
        <v>0</v>
      </c>
      <c r="Y8" s="12">
        <f>ROUND(S8+(O8*W8),2)</f>
        <v>121.88</v>
      </c>
      <c r="Z8" s="12" t="s">
        <v>10</v>
      </c>
      <c r="AA8" s="4">
        <v>0</v>
      </c>
      <c r="AB8" s="4">
        <f t="shared" ref="AB8:AB9" si="2">U8</f>
        <v>0</v>
      </c>
      <c r="AC8" s="12">
        <v>2.85</v>
      </c>
      <c r="AD8" s="4">
        <v>0</v>
      </c>
      <c r="AE8" s="16">
        <f>ROUND((Y8+AP8+BB8)*AC8/100,2)</f>
        <v>6.65</v>
      </c>
      <c r="AF8" s="12">
        <v>54.62</v>
      </c>
      <c r="AG8" s="16">
        <f>ROUND(Y8+AP8+AE8+BC8,2)</f>
        <v>240.02</v>
      </c>
      <c r="AH8" s="12">
        <v>2</v>
      </c>
      <c r="AI8" s="12">
        <v>4</v>
      </c>
      <c r="AJ8" s="17" t="s">
        <v>12</v>
      </c>
      <c r="AK8" s="18">
        <v>0</v>
      </c>
      <c r="AL8" s="12">
        <v>2</v>
      </c>
      <c r="AM8" s="12" t="s">
        <v>76</v>
      </c>
      <c r="AN8" s="12" t="s">
        <v>76</v>
      </c>
      <c r="AO8" s="12">
        <v>0</v>
      </c>
      <c r="AP8" s="12">
        <f>ROUND(AF8*O8,2)</f>
        <v>109.24</v>
      </c>
      <c r="AQ8" s="12">
        <f>ROUND(O8*W8,2)</f>
        <v>0.9</v>
      </c>
      <c r="AR8" s="12">
        <v>0</v>
      </c>
      <c r="AS8" s="12">
        <v>0</v>
      </c>
      <c r="AT8" s="12">
        <v>0</v>
      </c>
      <c r="AU8" s="12">
        <v>0</v>
      </c>
      <c r="AV8" s="12">
        <v>0</v>
      </c>
      <c r="AW8" s="12">
        <v>0</v>
      </c>
      <c r="AX8" s="12"/>
      <c r="AY8" s="12"/>
      <c r="AZ8" s="12"/>
      <c r="BA8" s="12"/>
      <c r="BB8" s="16">
        <v>2.25</v>
      </c>
      <c r="BC8" s="16">
        <f>ROUND((AD8+BB8),2)</f>
        <v>2.25</v>
      </c>
      <c r="BD8" s="12" t="s">
        <v>10</v>
      </c>
      <c r="BE8" s="12" t="s">
        <v>10</v>
      </c>
      <c r="BF8" s="12">
        <v>0</v>
      </c>
      <c r="BG8" s="12">
        <v>0</v>
      </c>
      <c r="BH8" s="12">
        <v>0</v>
      </c>
      <c r="BI8" s="12" t="s">
        <v>15</v>
      </c>
      <c r="BJ8" s="12" t="s">
        <v>15</v>
      </c>
      <c r="BK8" s="12" t="s">
        <v>15</v>
      </c>
      <c r="BL8" s="12"/>
      <c r="BM8" s="12" t="s">
        <v>15</v>
      </c>
      <c r="BN8" t="s">
        <v>1055</v>
      </c>
    </row>
    <row r="9" spans="1:65" s="11" customFormat="1">
      <c r="A9" s="22">
        <v>6</v>
      </c>
      <c r="B9" s="32" t="s">
        <v>91</v>
      </c>
      <c r="C9" s="15" t="s">
        <v>115</v>
      </c>
      <c r="D9" s="12" t="s">
        <v>16</v>
      </c>
      <c r="E9" s="15" t="s">
        <v>6</v>
      </c>
      <c r="F9" s="14" t="s">
        <v>11</v>
      </c>
      <c r="G9" s="14"/>
      <c r="H9" s="14" t="s">
        <v>15</v>
      </c>
      <c r="I9" s="14" t="s">
        <v>15</v>
      </c>
      <c r="J9" s="14" t="s">
        <v>92</v>
      </c>
      <c r="K9" s="14" t="s">
        <v>74</v>
      </c>
      <c r="L9" s="15" t="s">
        <v>13</v>
      </c>
      <c r="M9" s="14" t="s">
        <v>75</v>
      </c>
      <c r="N9" s="14">
        <v>0</v>
      </c>
      <c r="O9" s="19">
        <v>3</v>
      </c>
      <c r="P9" s="12">
        <v>0</v>
      </c>
      <c r="Q9" s="12">
        <v>10.742000000000001</v>
      </c>
      <c r="R9" s="12">
        <v>0</v>
      </c>
      <c r="S9" s="12">
        <f>ROUND(Q9,3)</f>
        <v>10.742000000000001</v>
      </c>
      <c r="T9" s="12" t="s">
        <v>10</v>
      </c>
      <c r="U9" s="12">
        <v>0</v>
      </c>
      <c r="V9" s="12">
        <v>0</v>
      </c>
      <c r="W9" s="12">
        <v>1.2310000000000001</v>
      </c>
      <c r="X9" s="12">
        <v>0</v>
      </c>
      <c r="Y9" s="12">
        <f>ROUND(S9+(O9*W9),3)</f>
        <v>14.435</v>
      </c>
      <c r="Z9" s="12" t="s">
        <v>10</v>
      </c>
      <c r="AA9" s="12">
        <v>0</v>
      </c>
      <c r="AB9" s="12">
        <f t="shared" si="2"/>
        <v>0</v>
      </c>
      <c r="AC9" s="18">
        <v>4.1210000000000004</v>
      </c>
      <c r="AD9" s="12">
        <v>0</v>
      </c>
      <c r="AE9" s="18">
        <f>ROUND((Y9+AP9+BB9)*AC9/100,3)</f>
        <v>2.0569999999999999</v>
      </c>
      <c r="AF9" s="12">
        <v>9.5670000000000002</v>
      </c>
      <c r="AG9" s="18">
        <f>ROUND(Y9+AP9+AE9+BC9,3)</f>
        <v>51.981999999999999</v>
      </c>
      <c r="AH9" s="12">
        <v>3</v>
      </c>
      <c r="AI9" s="12">
        <v>2</v>
      </c>
      <c r="AJ9" s="17" t="s">
        <v>12</v>
      </c>
      <c r="AK9" s="18">
        <v>0</v>
      </c>
      <c r="AL9" s="12">
        <v>3</v>
      </c>
      <c r="AM9" s="12" t="s">
        <v>76</v>
      </c>
      <c r="AN9" s="12" t="s">
        <v>76</v>
      </c>
      <c r="AO9" s="12">
        <v>0</v>
      </c>
      <c r="AP9" s="12">
        <f>ROUND(AF9*O9,3)</f>
        <v>28.701000000000001</v>
      </c>
      <c r="AQ9" s="12">
        <f>ROUND(O9*W9,3)</f>
        <v>3.6930000000000001</v>
      </c>
      <c r="AR9" s="12">
        <v>0</v>
      </c>
      <c r="AS9" s="12">
        <v>0</v>
      </c>
      <c r="AT9" s="12">
        <v>0</v>
      </c>
      <c r="AU9" s="12">
        <v>0</v>
      </c>
      <c r="AV9" s="12">
        <v>0</v>
      </c>
      <c r="AW9" s="12">
        <v>0</v>
      </c>
      <c r="AX9" s="12"/>
      <c r="AY9" s="12"/>
      <c r="AZ9" s="12"/>
      <c r="BA9" s="12"/>
      <c r="BB9" s="33">
        <v>6.7889999999999997</v>
      </c>
      <c r="BC9" s="18">
        <f>ROUND((AD9+BB9),3)</f>
        <v>6.7889999999999997</v>
      </c>
      <c r="BD9" s="12" t="s">
        <v>10</v>
      </c>
      <c r="BE9" s="12" t="s">
        <v>10</v>
      </c>
      <c r="BF9" s="12">
        <v>0</v>
      </c>
      <c r="BG9" s="12">
        <v>0</v>
      </c>
      <c r="BH9" s="12">
        <v>0</v>
      </c>
      <c r="BI9" s="12" t="s">
        <v>15</v>
      </c>
      <c r="BJ9" s="12" t="s">
        <v>15</v>
      </c>
      <c r="BK9" s="12" t="s">
        <v>15</v>
      </c>
      <c r="BL9" s="12"/>
      <c r="BM9" s="12" t="s">
        <v>15</v>
      </c>
      <c r="BN9" t="s">
        <v>1055</v>
      </c>
    </row>
    <row r="10" spans="1:65" ht="21" customHeight="1">
      <c r="A10" s="22">
        <v>7</v>
      </c>
      <c r="B10" s="29" t="s">
        <v>80</v>
      </c>
      <c r="C10" s="15" t="s">
        <v>115</v>
      </c>
      <c r="D10" s="36" t="s">
        <v>96</v>
      </c>
      <c r="E10" s="15" t="s">
        <v>6</v>
      </c>
      <c r="F10" s="36" t="s">
        <v>11</v>
      </c>
      <c r="G10" s="36"/>
      <c r="H10" s="14" t="s">
        <v>14</v>
      </c>
      <c r="I10" s="36"/>
      <c r="J10" s="31" t="s">
        <v>97</v>
      </c>
      <c r="K10" s="31" t="s">
        <v>74</v>
      </c>
      <c r="L10" s="36" t="s">
        <v>13</v>
      </c>
      <c r="M10" s="36" t="s">
        <v>75</v>
      </c>
      <c r="N10" s="37">
        <v>0</v>
      </c>
      <c r="O10" s="38">
        <v>7</v>
      </c>
      <c r="P10" s="1">
        <v>0.54</v>
      </c>
      <c r="Q10" s="38">
        <v>0</v>
      </c>
      <c r="R10" s="12">
        <v>0</v>
      </c>
      <c r="S10" s="12">
        <v>5.4</v>
      </c>
      <c r="T10" s="1" t="s">
        <v>10</v>
      </c>
      <c r="U10" s="4">
        <v>0</v>
      </c>
      <c r="V10" s="4">
        <v>0</v>
      </c>
      <c r="W10" s="1">
        <v>3.45</v>
      </c>
      <c r="X10" s="1">
        <v>4.21</v>
      </c>
      <c r="Y10" s="12">
        <f t="shared" ref="Y10:Y11" si="3">ROUND(S10+(O10*W10 + O10*X10),2)</f>
        <v>59.02</v>
      </c>
      <c r="Z10" s="39" t="s">
        <v>10</v>
      </c>
      <c r="AA10" s="4">
        <v>0</v>
      </c>
      <c r="AB10" s="4">
        <v>0</v>
      </c>
      <c r="AC10" s="12">
        <v>7.85</v>
      </c>
      <c r="AD10" s="4">
        <v>0</v>
      </c>
      <c r="AE10" s="16">
        <f>ROUND((Y10+AP10+BB10)*AC10/100,2)</f>
        <v>4.63</v>
      </c>
      <c r="AF10" s="39">
        <v>0</v>
      </c>
      <c r="AG10" s="16">
        <f>ROUND(Y10+AP10+AE10+BC10,2)</f>
        <v>63.65</v>
      </c>
      <c r="AH10" s="1">
        <v>2</v>
      </c>
      <c r="AI10" s="12">
        <v>4</v>
      </c>
      <c r="AJ10" s="17" t="s">
        <v>12</v>
      </c>
      <c r="AK10" s="18">
        <v>0</v>
      </c>
      <c r="AL10" s="12">
        <v>2</v>
      </c>
      <c r="AM10" s="12" t="s">
        <v>76</v>
      </c>
      <c r="AN10" s="12" t="s">
        <v>76</v>
      </c>
      <c r="AO10" s="1">
        <v>0</v>
      </c>
      <c r="AP10" s="12">
        <f t="shared" ref="AP10" si="4">ROUND(AF10*O10,4)</f>
        <v>0</v>
      </c>
      <c r="AQ10" s="12">
        <f>ROUND(O10*W10,2)</f>
        <v>24.15</v>
      </c>
      <c r="AR10" s="12">
        <f t="shared" ref="AR10:AR11" si="5">ROUND(O10*X10,2)</f>
        <v>29.47</v>
      </c>
      <c r="AS10" s="1">
        <v>0</v>
      </c>
      <c r="AT10" s="1">
        <v>0</v>
      </c>
      <c r="AU10" s="1">
        <v>0</v>
      </c>
      <c r="AV10" s="1">
        <v>0</v>
      </c>
      <c r="AW10" s="1">
        <v>0</v>
      </c>
      <c r="AX10" s="1"/>
      <c r="AY10" s="1"/>
      <c r="AZ10" s="1"/>
      <c r="BA10" s="1"/>
      <c r="BB10" s="12">
        <v>0</v>
      </c>
      <c r="BC10" s="1">
        <v>0</v>
      </c>
      <c r="BD10" s="1" t="s">
        <v>10</v>
      </c>
      <c r="BE10" s="1" t="s">
        <v>10</v>
      </c>
      <c r="BF10" s="1">
        <v>0</v>
      </c>
      <c r="BG10" s="1">
        <v>0</v>
      </c>
      <c r="BH10" s="1">
        <v>0</v>
      </c>
      <c r="BI10" s="12" t="s">
        <v>15</v>
      </c>
      <c r="BJ10" s="12" t="s">
        <v>15</v>
      </c>
      <c r="BK10" s="12" t="s">
        <v>15</v>
      </c>
      <c r="BL10" s="1"/>
      <c r="BM10" s="1" t="s">
        <v>15</v>
      </c>
      <c r="BN10" t="s">
        <v>1055</v>
      </c>
    </row>
    <row r="11" spans="1:65" ht="23.25" customHeight="1">
      <c r="A11" s="22">
        <v>8</v>
      </c>
      <c r="B11" s="29" t="s">
        <v>80</v>
      </c>
      <c r="C11" s="15" t="s">
        <v>115</v>
      </c>
      <c r="D11" s="36" t="s">
        <v>96</v>
      </c>
      <c r="E11" s="15" t="s">
        <v>6</v>
      </c>
      <c r="F11" s="36" t="s">
        <v>11</v>
      </c>
      <c r="G11" s="36"/>
      <c r="H11" s="14" t="s">
        <v>14</v>
      </c>
      <c r="I11" s="36"/>
      <c r="J11" s="31" t="s">
        <v>98</v>
      </c>
      <c r="K11" s="31" t="s">
        <v>74</v>
      </c>
      <c r="L11" s="36" t="s">
        <v>13</v>
      </c>
      <c r="M11" s="36" t="s">
        <v>75</v>
      </c>
      <c r="N11" s="36">
        <v>0</v>
      </c>
      <c r="O11" s="40">
        <v>10</v>
      </c>
      <c r="P11" s="1">
        <v>5</v>
      </c>
      <c r="Q11" s="1">
        <v>0</v>
      </c>
      <c r="R11" s="12">
        <v>0</v>
      </c>
      <c r="S11" s="1">
        <v>5</v>
      </c>
      <c r="T11" s="12" t="s">
        <v>10</v>
      </c>
      <c r="U11" s="4">
        <v>0</v>
      </c>
      <c r="V11" s="4">
        <v>0</v>
      </c>
      <c r="W11" s="39">
        <v>0</v>
      </c>
      <c r="X11" s="39">
        <v>10.43</v>
      </c>
      <c r="Y11" s="12">
        <f t="shared" si="3"/>
        <v>109.3</v>
      </c>
      <c r="Z11" s="12" t="s">
        <v>10</v>
      </c>
      <c r="AA11" s="4">
        <v>0</v>
      </c>
      <c r="AB11" s="39">
        <v>0</v>
      </c>
      <c r="AC11" s="12">
        <v>7.85</v>
      </c>
      <c r="AD11" s="4">
        <v>0</v>
      </c>
      <c r="AE11" s="16">
        <f>ROUND((Y11+AP11+BB11)*AC11/100,2)</f>
        <v>8.58</v>
      </c>
      <c r="AF11" s="39">
        <v>0</v>
      </c>
      <c r="AG11" s="16">
        <f>ROUND(Y11+AP11+AE11+BC11,2)</f>
        <v>117.88</v>
      </c>
      <c r="AH11" s="12">
        <v>2</v>
      </c>
      <c r="AI11" s="12">
        <v>4</v>
      </c>
      <c r="AJ11" s="17" t="s">
        <v>12</v>
      </c>
      <c r="AK11" s="18">
        <v>0</v>
      </c>
      <c r="AL11" s="12">
        <v>2</v>
      </c>
      <c r="AM11" s="12" t="s">
        <v>76</v>
      </c>
      <c r="AN11" s="12" t="s">
        <v>76</v>
      </c>
      <c r="AO11" s="12">
        <v>0</v>
      </c>
      <c r="AP11" s="12">
        <v>0</v>
      </c>
      <c r="AQ11" s="12">
        <v>0</v>
      </c>
      <c r="AR11" s="12">
        <f t="shared" si="5"/>
        <v>104.3</v>
      </c>
      <c r="AS11" s="12">
        <v>0</v>
      </c>
      <c r="AT11" s="12">
        <v>0</v>
      </c>
      <c r="AU11" s="12">
        <v>0</v>
      </c>
      <c r="AV11" s="1">
        <v>0</v>
      </c>
      <c r="AW11" s="1">
        <v>0</v>
      </c>
      <c r="AX11" s="1"/>
      <c r="AY11" s="1"/>
      <c r="AZ11" s="1"/>
      <c r="BA11" s="1"/>
      <c r="BB11" s="12">
        <v>0</v>
      </c>
      <c r="BC11" s="1">
        <v>0</v>
      </c>
      <c r="BD11" s="12" t="s">
        <v>10</v>
      </c>
      <c r="BE11" s="12" t="s">
        <v>10</v>
      </c>
      <c r="BF11" s="1">
        <v>0</v>
      </c>
      <c r="BG11" s="12">
        <v>0</v>
      </c>
      <c r="BH11" s="12">
        <v>0</v>
      </c>
      <c r="BI11" s="12" t="s">
        <v>15</v>
      </c>
      <c r="BJ11" s="12" t="s">
        <v>15</v>
      </c>
      <c r="BK11" s="12" t="s">
        <v>15</v>
      </c>
      <c r="BL11" s="1"/>
      <c r="BM11" s="1" t="s">
        <v>15</v>
      </c>
      <c r="BN11" t="s">
        <v>1055</v>
      </c>
    </row>
    <row r="12" spans="1:65" s="11" customFormat="1">
      <c r="A12" s="122"/>
      <c r="B12" s="130" t="s">
        <v>83</v>
      </c>
      <c r="C12" s="131"/>
      <c r="D12" s="131"/>
      <c r="E12" s="131"/>
      <c r="F12" s="131"/>
      <c r="G12" s="131"/>
      <c r="H12" s="131"/>
      <c r="I12" s="131"/>
      <c r="J12" s="132"/>
      <c r="K12" s="42"/>
      <c r="L12" s="42"/>
      <c r="M12" s="42"/>
      <c r="N12" s="42"/>
      <c r="O12" s="42"/>
      <c r="P12" s="21"/>
      <c r="Q12" s="42"/>
      <c r="R12" s="42"/>
      <c r="S12" s="42"/>
      <c r="T12" s="42"/>
      <c r="U12" s="43"/>
      <c r="V12" s="42"/>
      <c r="W12" s="42"/>
      <c r="X12" s="42"/>
      <c r="Y12" s="43"/>
      <c r="Z12" s="42"/>
      <c r="AA12" s="42"/>
      <c r="AB12" s="42"/>
      <c r="AC12" s="42"/>
      <c r="AD12" s="43"/>
      <c r="AE12" s="42"/>
      <c r="AF12" s="42"/>
      <c r="AG12" s="42"/>
      <c r="AH12" s="42"/>
      <c r="AI12" s="42"/>
      <c r="AJ12" s="42"/>
      <c r="AK12" s="42"/>
      <c r="AL12" s="42"/>
      <c r="AM12" s="42"/>
      <c r="AN12" s="42"/>
      <c r="AO12" s="42"/>
      <c r="AP12" s="42"/>
      <c r="AQ12" s="44"/>
      <c r="AR12" s="44"/>
      <c r="AS12" s="42"/>
      <c r="AT12" s="42"/>
      <c r="AU12" s="42"/>
      <c r="AV12" s="42"/>
      <c r="AW12" s="42"/>
      <c r="AX12" s="42"/>
      <c r="AY12" s="42"/>
      <c r="AZ12" s="42"/>
      <c r="BA12" s="42"/>
      <c r="BB12" s="42"/>
      <c r="BC12" s="42"/>
      <c r="BD12" s="42"/>
      <c r="BE12" s="42"/>
      <c r="BF12" s="42"/>
      <c r="BG12" s="42"/>
      <c r="BH12" s="42"/>
      <c r="BI12" s="42"/>
      <c r="BJ12" s="42"/>
      <c r="BK12" s="42"/>
      <c r="BL12" s="12"/>
      <c r="BM12" s="12"/>
      <c r="BN12" t="s">
        <v>1205</v>
      </c>
    </row>
    <row r="13" spans="1:65" s="11" customFormat="1">
      <c r="A13" s="22">
        <v>9</v>
      </c>
      <c r="B13" s="29" t="s">
        <v>80</v>
      </c>
      <c r="C13" s="15" t="s">
        <v>115</v>
      </c>
      <c r="D13" s="15" t="s">
        <v>16</v>
      </c>
      <c r="E13" s="15" t="s">
        <v>6</v>
      </c>
      <c r="F13" s="14" t="s">
        <v>11</v>
      </c>
      <c r="G13" s="14"/>
      <c r="H13" s="14" t="s">
        <v>14</v>
      </c>
      <c r="I13" s="14" t="s">
        <v>14</v>
      </c>
      <c r="J13" s="14" t="s">
        <v>77</v>
      </c>
      <c r="K13" s="14" t="s">
        <v>74</v>
      </c>
      <c r="L13" s="15" t="s">
        <v>13</v>
      </c>
      <c r="M13" s="14" t="s">
        <v>75</v>
      </c>
      <c r="N13" s="14">
        <v>67</v>
      </c>
      <c r="O13" s="19">
        <v>2</v>
      </c>
      <c r="P13" s="12">
        <v>4</v>
      </c>
      <c r="Q13" s="12">
        <v>0.98</v>
      </c>
      <c r="R13" s="12">
        <v>0</v>
      </c>
      <c r="S13" s="45">
        <f>IF(N13&gt;(IF(T13="N",((IF(P13&gt;0,(P13*O13),Q13))-U13),(IF(P13&gt;0,(P13*O13),Q13))-(IF(P13&gt;0,(P13*O13),Q13))*U13/100)),(N13),(IF(T13="N",((IF(P13&gt;0,(P13*O13),Q13))),(IF(P13&gt;0,(P13*O13),Q13)))))</f>
        <v>67</v>
      </c>
      <c r="T13" s="12" t="s">
        <v>10</v>
      </c>
      <c r="U13" s="4">
        <v>0</v>
      </c>
      <c r="V13" s="4">
        <v>0</v>
      </c>
      <c r="W13" s="12">
        <v>0.45</v>
      </c>
      <c r="X13" s="12">
        <v>0</v>
      </c>
      <c r="Y13" s="12">
        <f>ROUND(S13+(O13*W13),2)</f>
        <v>67.900000000000006</v>
      </c>
      <c r="Z13" s="12" t="s">
        <v>10</v>
      </c>
      <c r="AA13" s="4">
        <v>0</v>
      </c>
      <c r="AB13" s="4">
        <f t="shared" ref="AB13:AB15" si="6">U13</f>
        <v>0</v>
      </c>
      <c r="AC13" s="12">
        <v>7.85</v>
      </c>
      <c r="AD13" s="4">
        <v>0</v>
      </c>
      <c r="AE13" s="16">
        <f>ROUND((Y13+AP13+BB13)*AC13/100,2)</f>
        <v>14.08</v>
      </c>
      <c r="AF13" s="12">
        <v>54.62</v>
      </c>
      <c r="AG13" s="16">
        <f>ROUND(Y13+AP13+AE13+BC13,2)</f>
        <v>193.47</v>
      </c>
      <c r="AH13" s="12">
        <v>2</v>
      </c>
      <c r="AI13" s="12">
        <v>4</v>
      </c>
      <c r="AJ13" s="17" t="s">
        <v>12</v>
      </c>
      <c r="AK13" s="18">
        <v>0</v>
      </c>
      <c r="AL13" s="12">
        <v>2</v>
      </c>
      <c r="AM13" s="12" t="s">
        <v>76</v>
      </c>
      <c r="AN13" s="12" t="s">
        <v>76</v>
      </c>
      <c r="AO13" s="12">
        <v>0</v>
      </c>
      <c r="AP13" s="12">
        <f>ROUND(AF13*O13,2)</f>
        <v>109.24</v>
      </c>
      <c r="AQ13" s="12">
        <f>ROUND(O13*W13,2)</f>
        <v>0.9</v>
      </c>
      <c r="AR13" s="12">
        <v>0</v>
      </c>
      <c r="AS13" s="12">
        <v>0</v>
      </c>
      <c r="AT13" s="12">
        <v>0</v>
      </c>
      <c r="AU13" s="12">
        <v>0</v>
      </c>
      <c r="AV13" s="12">
        <v>0</v>
      </c>
      <c r="AW13" s="12">
        <v>0</v>
      </c>
      <c r="AX13" s="12"/>
      <c r="AY13" s="12"/>
      <c r="AZ13" s="12"/>
      <c r="BA13" s="12"/>
      <c r="BB13" s="16">
        <v>2.25</v>
      </c>
      <c r="BC13" s="16">
        <f>ROUND((AD13+BB13),2)</f>
        <v>2.25</v>
      </c>
      <c r="BD13" s="12" t="s">
        <v>10</v>
      </c>
      <c r="BE13" s="12" t="s">
        <v>10</v>
      </c>
      <c r="BF13" s="12">
        <v>0</v>
      </c>
      <c r="BG13" s="12">
        <v>0</v>
      </c>
      <c r="BH13" s="12">
        <v>0</v>
      </c>
      <c r="BI13" s="12" t="s">
        <v>15</v>
      </c>
      <c r="BJ13" s="12" t="s">
        <v>15</v>
      </c>
      <c r="BK13" s="12" t="s">
        <v>15</v>
      </c>
      <c r="BL13" s="12"/>
      <c r="BM13" s="12" t="s">
        <v>15</v>
      </c>
      <c r="BN13" t="s">
        <v>1055</v>
      </c>
    </row>
    <row r="14" spans="1:65" s="11" customFormat="1">
      <c r="A14" s="13">
        <v>10</v>
      </c>
      <c r="B14" s="32" t="s">
        <v>91</v>
      </c>
      <c r="C14" s="15" t="s">
        <v>115</v>
      </c>
      <c r="D14" s="12" t="s">
        <v>16</v>
      </c>
      <c r="E14" s="15" t="s">
        <v>6</v>
      </c>
      <c r="F14" s="14" t="s">
        <v>11</v>
      </c>
      <c r="G14" s="14"/>
      <c r="H14" s="14" t="s">
        <v>15</v>
      </c>
      <c r="I14" s="14" t="s">
        <v>15</v>
      </c>
      <c r="J14" s="14" t="s">
        <v>92</v>
      </c>
      <c r="K14" s="14" t="s">
        <v>74</v>
      </c>
      <c r="L14" s="15" t="s">
        <v>13</v>
      </c>
      <c r="M14" s="14" t="s">
        <v>75</v>
      </c>
      <c r="N14" s="46">
        <v>20</v>
      </c>
      <c r="O14" s="19">
        <v>3</v>
      </c>
      <c r="P14" s="12">
        <v>0</v>
      </c>
      <c r="Q14" s="12">
        <v>0.74199999999999999</v>
      </c>
      <c r="R14" s="12">
        <v>0</v>
      </c>
      <c r="S14" s="47">
        <f t="shared" ref="S14:S15" si="7">IF(N14&gt;(IF(T14="N",((IF(P14&gt;0,(P14*O14),Q14))-U14),(IF(P14&gt;0,(P14*O14),Q14))-(IF(P14&gt;0,(P14*O14),Q14))*U14/100)),(N14),(IF(T14="N",((IF(P14&gt;0,(P14*O14),Q14))),(IF(P14&gt;0,(P14*O14),Q14)))))</f>
        <v>20</v>
      </c>
      <c r="T14" s="12" t="s">
        <v>10</v>
      </c>
      <c r="U14" s="12">
        <v>0</v>
      </c>
      <c r="V14" s="12">
        <v>0</v>
      </c>
      <c r="W14" s="12">
        <v>1.2310000000000001</v>
      </c>
      <c r="X14" s="12">
        <v>0</v>
      </c>
      <c r="Y14" s="12">
        <f>ROUND(S14+(O14*W14),3)</f>
        <v>23.693000000000001</v>
      </c>
      <c r="Z14" s="12" t="s">
        <v>10</v>
      </c>
      <c r="AA14" s="12">
        <v>0</v>
      </c>
      <c r="AB14" s="12">
        <f t="shared" si="6"/>
        <v>0</v>
      </c>
      <c r="AC14" s="18">
        <v>8.1199999999999992</v>
      </c>
      <c r="AD14" s="12">
        <v>0</v>
      </c>
      <c r="AE14" s="18">
        <f>ROUND((Y14+AP14+BB14)*AC14/100,3)</f>
        <v>4.806</v>
      </c>
      <c r="AF14" s="12">
        <v>9.5670000000000002</v>
      </c>
      <c r="AG14" s="18">
        <f>ROUND(Y14+AP14+AE14+BC14,3)</f>
        <v>63.988999999999997</v>
      </c>
      <c r="AH14" s="12">
        <v>3</v>
      </c>
      <c r="AI14" s="12">
        <v>2</v>
      </c>
      <c r="AJ14" s="17" t="s">
        <v>12</v>
      </c>
      <c r="AK14" s="18">
        <v>0</v>
      </c>
      <c r="AL14" s="12">
        <v>3</v>
      </c>
      <c r="AM14" s="12" t="s">
        <v>76</v>
      </c>
      <c r="AN14" s="12" t="s">
        <v>76</v>
      </c>
      <c r="AO14" s="12">
        <v>0</v>
      </c>
      <c r="AP14" s="12">
        <f>ROUND(AF14*O14,3)</f>
        <v>28.701000000000001</v>
      </c>
      <c r="AQ14" s="12">
        <f>ROUND(O14*W14,3)</f>
        <v>3.6930000000000001</v>
      </c>
      <c r="AR14" s="12">
        <v>0</v>
      </c>
      <c r="AS14" s="12">
        <v>0</v>
      </c>
      <c r="AT14" s="12">
        <v>0</v>
      </c>
      <c r="AU14" s="12">
        <v>0</v>
      </c>
      <c r="AV14" s="12">
        <v>0</v>
      </c>
      <c r="AW14" s="12">
        <v>0</v>
      </c>
      <c r="AX14" s="12"/>
      <c r="AY14" s="12"/>
      <c r="AZ14" s="12"/>
      <c r="BA14" s="12"/>
      <c r="BB14" s="33">
        <v>6.7889999999999997</v>
      </c>
      <c r="BC14" s="18">
        <f>ROUND((AD14+BB14),3)</f>
        <v>6.7889999999999997</v>
      </c>
      <c r="BD14" s="12" t="s">
        <v>10</v>
      </c>
      <c r="BE14" s="12" t="s">
        <v>10</v>
      </c>
      <c r="BF14" s="12">
        <v>0</v>
      </c>
      <c r="BG14" s="12">
        <v>0</v>
      </c>
      <c r="BH14" s="12">
        <v>0</v>
      </c>
      <c r="BI14" s="12" t="s">
        <v>15</v>
      </c>
      <c r="BJ14" s="12" t="s">
        <v>15</v>
      </c>
      <c r="BK14" s="12" t="s">
        <v>15</v>
      </c>
      <c r="BL14" s="12"/>
      <c r="BM14" s="12" t="s">
        <v>15</v>
      </c>
      <c r="BN14" t="s">
        <v>1055</v>
      </c>
    </row>
    <row r="15" spans="1:65" s="11" customFormat="1">
      <c r="A15" s="13">
        <v>11</v>
      </c>
      <c r="B15" s="34" t="s">
        <v>93</v>
      </c>
      <c r="C15" s="15" t="s">
        <v>115</v>
      </c>
      <c r="D15" s="12" t="s">
        <v>16</v>
      </c>
      <c r="E15" s="15" t="s">
        <v>6</v>
      </c>
      <c r="F15" s="14" t="s">
        <v>11</v>
      </c>
      <c r="G15" s="14"/>
      <c r="H15" s="14" t="s">
        <v>14</v>
      </c>
      <c r="I15" s="14" t="s">
        <v>94</v>
      </c>
      <c r="J15" s="14" t="s">
        <v>99</v>
      </c>
      <c r="K15" s="14" t="s">
        <v>74</v>
      </c>
      <c r="L15" s="15" t="s">
        <v>13</v>
      </c>
      <c r="M15" s="14" t="s">
        <v>75</v>
      </c>
      <c r="N15" s="14">
        <v>10</v>
      </c>
      <c r="O15" s="19">
        <v>2</v>
      </c>
      <c r="P15" s="12">
        <v>0</v>
      </c>
      <c r="Q15" s="12">
        <v>0.6421</v>
      </c>
      <c r="R15" s="12">
        <v>0</v>
      </c>
      <c r="S15" s="48">
        <f t="shared" si="7"/>
        <v>10</v>
      </c>
      <c r="T15" s="12" t="s">
        <v>10</v>
      </c>
      <c r="U15" s="12">
        <v>0</v>
      </c>
      <c r="V15" s="12">
        <v>0</v>
      </c>
      <c r="W15" s="12">
        <v>2.2355999999999998</v>
      </c>
      <c r="X15" s="12">
        <v>0</v>
      </c>
      <c r="Y15" s="12">
        <f>ROUND(S15+(O15*W15),4)</f>
        <v>14.4712</v>
      </c>
      <c r="Z15" s="12" t="s">
        <v>10</v>
      </c>
      <c r="AA15" s="12">
        <v>0</v>
      </c>
      <c r="AB15" s="12">
        <f t="shared" si="6"/>
        <v>0</v>
      </c>
      <c r="AC15" s="35">
        <v>9.65</v>
      </c>
      <c r="AD15" s="12">
        <v>0</v>
      </c>
      <c r="AE15" s="35">
        <f>ROUND((Y15+AP15+BB15)*AC15/100,4)</f>
        <v>4.1718999999999999</v>
      </c>
      <c r="AF15" s="12">
        <v>12.4321</v>
      </c>
      <c r="AG15" s="35">
        <f>ROUND(Y15+AP15+AE15+BC15,4)</f>
        <v>47.404000000000003</v>
      </c>
      <c r="AH15" s="12">
        <v>4</v>
      </c>
      <c r="AI15" s="12">
        <v>3</v>
      </c>
      <c r="AJ15" s="17" t="s">
        <v>12</v>
      </c>
      <c r="AK15" s="18">
        <v>0</v>
      </c>
      <c r="AL15" s="12">
        <v>4</v>
      </c>
      <c r="AM15" s="12" t="s">
        <v>76</v>
      </c>
      <c r="AN15" s="12" t="s">
        <v>76</v>
      </c>
      <c r="AO15" s="12">
        <v>0</v>
      </c>
      <c r="AP15" s="12">
        <f>ROUND(AF15*O15,4)</f>
        <v>24.8642</v>
      </c>
      <c r="AQ15" s="12">
        <f>ROUND(O15*W15,4)</f>
        <v>4.4711999999999996</v>
      </c>
      <c r="AR15" s="12">
        <v>0</v>
      </c>
      <c r="AS15" s="12">
        <v>0</v>
      </c>
      <c r="AT15" s="12">
        <v>0</v>
      </c>
      <c r="AU15" s="12">
        <v>0</v>
      </c>
      <c r="AV15" s="12">
        <v>0</v>
      </c>
      <c r="AW15" s="12">
        <v>0</v>
      </c>
      <c r="AX15" s="12"/>
      <c r="AY15" s="12"/>
      <c r="AZ15" s="12"/>
      <c r="BA15" s="12"/>
      <c r="BB15" s="12">
        <v>3.8967000000000001</v>
      </c>
      <c r="BC15" s="35">
        <f>ROUND((AD15+BB15),4)</f>
        <v>3.8967000000000001</v>
      </c>
      <c r="BD15" s="12" t="s">
        <v>10</v>
      </c>
      <c r="BE15" s="12" t="s">
        <v>10</v>
      </c>
      <c r="BF15" s="12">
        <v>0</v>
      </c>
      <c r="BG15" s="12">
        <v>0</v>
      </c>
      <c r="BH15" s="12">
        <v>0</v>
      </c>
      <c r="BI15" s="12" t="s">
        <v>15</v>
      </c>
      <c r="BJ15" s="12" t="s">
        <v>15</v>
      </c>
      <c r="BK15" s="12" t="s">
        <v>15</v>
      </c>
      <c r="BL15" s="12"/>
      <c r="BM15" s="12" t="s">
        <v>15</v>
      </c>
      <c r="BN15" t="s">
        <v>1055</v>
      </c>
    </row>
    <row r="16" spans="1:65" s="11" customFormat="1">
      <c r="A16" s="13"/>
      <c r="B16" s="23" t="s">
        <v>87</v>
      </c>
      <c r="C16" s="24"/>
      <c r="D16" s="25"/>
      <c r="E16" s="25"/>
      <c r="F16" s="25"/>
      <c r="G16" s="25"/>
      <c r="H16" s="25"/>
      <c r="I16" s="25"/>
      <c r="J16" s="25"/>
      <c r="K16" s="26"/>
      <c r="L16" s="26"/>
      <c r="M16" s="26"/>
      <c r="N16" s="26"/>
      <c r="O16" s="26"/>
      <c r="P16" s="22"/>
      <c r="Q16" s="21"/>
      <c r="R16" s="21"/>
      <c r="S16" s="27"/>
      <c r="T16" s="27"/>
      <c r="U16" s="27"/>
      <c r="V16" s="21"/>
      <c r="W16" s="21"/>
      <c r="X16" s="21"/>
      <c r="Y16" s="27"/>
      <c r="Z16" s="27"/>
      <c r="AA16" s="21"/>
      <c r="AB16" s="21"/>
      <c r="AC16" s="27"/>
      <c r="AD16" s="27"/>
      <c r="AE16" s="21"/>
      <c r="AF16" s="27"/>
      <c r="AG16" s="27"/>
      <c r="AH16" s="21"/>
      <c r="AI16" s="27"/>
      <c r="AJ16" s="21"/>
      <c r="AK16" s="27"/>
      <c r="AL16" s="27"/>
      <c r="AM16" s="21"/>
      <c r="AN16" s="21"/>
      <c r="AO16" s="22"/>
      <c r="AP16" s="27"/>
      <c r="AQ16" s="28"/>
      <c r="AR16" s="28"/>
      <c r="AS16" s="21"/>
      <c r="AT16" s="21"/>
      <c r="AU16" s="21"/>
      <c r="AV16" s="21"/>
      <c r="AW16" s="27"/>
      <c r="AX16" s="21"/>
      <c r="AY16" s="21"/>
      <c r="AZ16" s="21"/>
      <c r="BA16" s="21"/>
      <c r="BB16" s="21"/>
      <c r="BC16" s="21"/>
      <c r="BD16" s="21"/>
      <c r="BE16" s="21"/>
      <c r="BF16" s="21"/>
      <c r="BG16" s="21"/>
      <c r="BH16" s="21"/>
      <c r="BI16" s="21"/>
      <c r="BJ16" s="21"/>
      <c r="BK16" s="21"/>
      <c r="BL16" s="21"/>
      <c r="BM16" s="21"/>
      <c r="BN16" t="s">
        <v>1205</v>
      </c>
    </row>
    <row r="17" spans="1:65" s="11" customFormat="1">
      <c r="A17" s="22">
        <v>12</v>
      </c>
      <c r="B17" s="29" t="s">
        <v>80</v>
      </c>
      <c r="C17" s="15" t="s">
        <v>115</v>
      </c>
      <c r="D17" s="15" t="s">
        <v>16</v>
      </c>
      <c r="E17" s="15" t="s">
        <v>6</v>
      </c>
      <c r="F17" s="14" t="s">
        <v>11</v>
      </c>
      <c r="G17" s="14"/>
      <c r="H17" s="14" t="s">
        <v>14</v>
      </c>
      <c r="I17" s="14" t="s">
        <v>14</v>
      </c>
      <c r="J17" s="14" t="s">
        <v>77</v>
      </c>
      <c r="K17" s="14" t="s">
        <v>74</v>
      </c>
      <c r="L17" s="15" t="s">
        <v>13</v>
      </c>
      <c r="M17" s="14" t="s">
        <v>75</v>
      </c>
      <c r="N17" s="14">
        <v>0</v>
      </c>
      <c r="O17" s="19">
        <v>2</v>
      </c>
      <c r="P17" s="12">
        <v>123.98</v>
      </c>
      <c r="Q17" s="12">
        <v>0</v>
      </c>
      <c r="R17" s="12">
        <v>0</v>
      </c>
      <c r="S17" s="12">
        <f>ROUND(O17*P17,2)</f>
        <v>247.96</v>
      </c>
      <c r="T17" s="12" t="s">
        <v>10</v>
      </c>
      <c r="U17" s="4">
        <v>0</v>
      </c>
      <c r="V17" s="4">
        <v>0</v>
      </c>
      <c r="W17" s="12">
        <v>0.45</v>
      </c>
      <c r="X17" s="12">
        <v>0</v>
      </c>
      <c r="Y17" s="12">
        <f>ROUND(S17+(O17*W17),2)</f>
        <v>248.86</v>
      </c>
      <c r="Z17" s="12" t="s">
        <v>10</v>
      </c>
      <c r="AA17" s="4">
        <v>0</v>
      </c>
      <c r="AB17" s="4">
        <f t="shared" ref="AB17:AB19" si="8">U17</f>
        <v>0</v>
      </c>
      <c r="AC17" s="12">
        <v>7.85</v>
      </c>
      <c r="AD17" s="4">
        <v>0</v>
      </c>
      <c r="AE17" s="16">
        <f>ROUND((Y17+AP17+BB17)*AC17/100,2)</f>
        <v>28.29</v>
      </c>
      <c r="AF17" s="12">
        <v>54.62</v>
      </c>
      <c r="AG17" s="16">
        <f>ROUND(Y17+AP17+AE17+BC17,2)</f>
        <v>388.64</v>
      </c>
      <c r="AH17" s="12">
        <v>2</v>
      </c>
      <c r="AI17" s="12">
        <v>4</v>
      </c>
      <c r="AJ17" s="17" t="s">
        <v>12</v>
      </c>
      <c r="AK17" s="18">
        <v>0</v>
      </c>
      <c r="AL17" s="12">
        <v>2</v>
      </c>
      <c r="AM17" s="12" t="s">
        <v>76</v>
      </c>
      <c r="AN17" s="12" t="s">
        <v>76</v>
      </c>
      <c r="AO17" s="12">
        <v>0</v>
      </c>
      <c r="AP17" s="12">
        <f>ROUND(AF17*O17,2)</f>
        <v>109.24</v>
      </c>
      <c r="AQ17" s="12">
        <f>ROUND(O17*W17,2)</f>
        <v>0.9</v>
      </c>
      <c r="AR17" s="12">
        <v>0</v>
      </c>
      <c r="AS17" s="12">
        <v>0</v>
      </c>
      <c r="AT17" s="12">
        <v>0</v>
      </c>
      <c r="AU17" s="12">
        <v>0</v>
      </c>
      <c r="AV17" s="12">
        <v>0</v>
      </c>
      <c r="AW17" s="12">
        <v>0</v>
      </c>
      <c r="AX17" s="12"/>
      <c r="AY17" s="12"/>
      <c r="AZ17" s="12"/>
      <c r="BA17" s="12"/>
      <c r="BB17" s="16">
        <v>2.25</v>
      </c>
      <c r="BC17" s="16">
        <f>ROUND((AD17+BB17),2)</f>
        <v>2.25</v>
      </c>
      <c r="BD17" s="12" t="s">
        <v>10</v>
      </c>
      <c r="BE17" s="12" t="s">
        <v>10</v>
      </c>
      <c r="BF17" s="12">
        <v>0</v>
      </c>
      <c r="BG17" s="12">
        <v>0</v>
      </c>
      <c r="BH17" s="12">
        <v>0</v>
      </c>
      <c r="BI17" s="12" t="s">
        <v>15</v>
      </c>
      <c r="BJ17" s="12" t="s">
        <v>15</v>
      </c>
      <c r="BK17" s="12" t="s">
        <v>15</v>
      </c>
      <c r="BL17" s="12"/>
      <c r="BM17" s="12" t="s">
        <v>15</v>
      </c>
      <c r="BN17" t="s">
        <v>1055</v>
      </c>
    </row>
    <row r="18" spans="1:65" s="11" customFormat="1">
      <c r="A18" s="13">
        <v>13</v>
      </c>
      <c r="B18" s="32" t="s">
        <v>91</v>
      </c>
      <c r="C18" s="15" t="s">
        <v>115</v>
      </c>
      <c r="D18" s="12" t="s">
        <v>16</v>
      </c>
      <c r="E18" s="15" t="s">
        <v>6</v>
      </c>
      <c r="F18" s="14" t="s">
        <v>11</v>
      </c>
      <c r="G18" s="14"/>
      <c r="H18" s="14" t="s">
        <v>15</v>
      </c>
      <c r="I18" s="14" t="s">
        <v>15</v>
      </c>
      <c r="J18" s="14" t="s">
        <v>92</v>
      </c>
      <c r="K18" s="14" t="s">
        <v>74</v>
      </c>
      <c r="L18" s="15" t="s">
        <v>13</v>
      </c>
      <c r="M18" s="14" t="s">
        <v>75</v>
      </c>
      <c r="N18" s="14">
        <v>0</v>
      </c>
      <c r="O18" s="19">
        <v>3</v>
      </c>
      <c r="P18" s="12">
        <v>1.742</v>
      </c>
      <c r="Q18" s="12">
        <v>0</v>
      </c>
      <c r="R18" s="12">
        <v>0</v>
      </c>
      <c r="S18" s="12">
        <f>ROUND(O18*P18,3)</f>
        <v>5.226</v>
      </c>
      <c r="T18" s="12" t="s">
        <v>10</v>
      </c>
      <c r="U18" s="12">
        <v>0</v>
      </c>
      <c r="V18" s="12">
        <v>0</v>
      </c>
      <c r="W18" s="12">
        <v>1.2310000000000001</v>
      </c>
      <c r="X18" s="12">
        <v>0</v>
      </c>
      <c r="Y18" s="12">
        <f>ROUND(S18+(O18*W18),3)</f>
        <v>8.9190000000000005</v>
      </c>
      <c r="Z18" s="12" t="s">
        <v>10</v>
      </c>
      <c r="AA18" s="12">
        <v>0</v>
      </c>
      <c r="AB18" s="12">
        <f t="shared" si="8"/>
        <v>0</v>
      </c>
      <c r="AC18" s="18">
        <v>8.1199999999999992</v>
      </c>
      <c r="AD18" s="12">
        <v>0</v>
      </c>
      <c r="AE18" s="18">
        <f>ROUND((Y18+AP18+BB18)*AC18/100,3)</f>
        <v>3.6059999999999999</v>
      </c>
      <c r="AF18" s="12">
        <v>9.5670000000000002</v>
      </c>
      <c r="AG18" s="18">
        <f>ROUND(Y18+AP18+AE18+BC18,3)</f>
        <v>48.015000000000001</v>
      </c>
      <c r="AH18" s="12">
        <v>3</v>
      </c>
      <c r="AI18" s="12">
        <v>2</v>
      </c>
      <c r="AJ18" s="17" t="s">
        <v>12</v>
      </c>
      <c r="AK18" s="18">
        <v>0</v>
      </c>
      <c r="AL18" s="12">
        <v>3</v>
      </c>
      <c r="AM18" s="12" t="s">
        <v>76</v>
      </c>
      <c r="AN18" s="12" t="s">
        <v>76</v>
      </c>
      <c r="AO18" s="12">
        <v>0</v>
      </c>
      <c r="AP18" s="12">
        <f>ROUND(AF18*O18,3)</f>
        <v>28.701000000000001</v>
      </c>
      <c r="AQ18" s="12">
        <f>ROUND(O18*W18,3)</f>
        <v>3.6930000000000001</v>
      </c>
      <c r="AR18" s="12">
        <v>0</v>
      </c>
      <c r="AS18" s="12">
        <v>0</v>
      </c>
      <c r="AT18" s="12">
        <v>0</v>
      </c>
      <c r="AU18" s="12">
        <v>0</v>
      </c>
      <c r="AV18" s="12">
        <v>0</v>
      </c>
      <c r="AW18" s="12">
        <v>0</v>
      </c>
      <c r="AX18" s="12"/>
      <c r="AY18" s="12"/>
      <c r="AZ18" s="12"/>
      <c r="BA18" s="12"/>
      <c r="BB18" s="33">
        <v>6.7889999999999997</v>
      </c>
      <c r="BC18" s="18">
        <f>ROUND((AD18+BB18),3)</f>
        <v>6.7889999999999997</v>
      </c>
      <c r="BD18" s="12" t="s">
        <v>10</v>
      </c>
      <c r="BE18" s="12" t="s">
        <v>10</v>
      </c>
      <c r="BF18" s="12">
        <v>0</v>
      </c>
      <c r="BG18" s="12">
        <v>0</v>
      </c>
      <c r="BH18" s="12">
        <v>0</v>
      </c>
      <c r="BI18" s="12" t="s">
        <v>15</v>
      </c>
      <c r="BJ18" s="12" t="s">
        <v>15</v>
      </c>
      <c r="BK18" s="12" t="s">
        <v>15</v>
      </c>
      <c r="BL18" s="12"/>
      <c r="BM18" s="12" t="s">
        <v>15</v>
      </c>
      <c r="BN18" t="s">
        <v>1055</v>
      </c>
    </row>
    <row r="19" spans="1:65" s="11" customFormat="1">
      <c r="A19" s="13">
        <v>14</v>
      </c>
      <c r="B19" s="34" t="s">
        <v>93</v>
      </c>
      <c r="C19" s="15" t="s">
        <v>115</v>
      </c>
      <c r="D19" s="12" t="s">
        <v>16</v>
      </c>
      <c r="E19" s="15" t="s">
        <v>6</v>
      </c>
      <c r="F19" s="14" t="s">
        <v>11</v>
      </c>
      <c r="G19" s="14"/>
      <c r="H19" s="14" t="s">
        <v>14</v>
      </c>
      <c r="I19" s="14" t="s">
        <v>94</v>
      </c>
      <c r="J19" s="14" t="s">
        <v>99</v>
      </c>
      <c r="K19" s="14" t="s">
        <v>74</v>
      </c>
      <c r="L19" s="15" t="s">
        <v>13</v>
      </c>
      <c r="M19" s="14" t="s">
        <v>75</v>
      </c>
      <c r="N19" s="14">
        <v>0</v>
      </c>
      <c r="O19" s="19">
        <v>2</v>
      </c>
      <c r="P19" s="12">
        <v>5.6421000000000001</v>
      </c>
      <c r="Q19" s="12">
        <v>0</v>
      </c>
      <c r="R19" s="12">
        <v>0</v>
      </c>
      <c r="S19" s="12">
        <f>ROUND(O19*P19,4)</f>
        <v>11.2842</v>
      </c>
      <c r="T19" s="12" t="s">
        <v>10</v>
      </c>
      <c r="U19" s="12">
        <v>0</v>
      </c>
      <c r="V19" s="12">
        <v>0</v>
      </c>
      <c r="W19" s="12">
        <v>2.2355999999999998</v>
      </c>
      <c r="X19" s="12">
        <v>0</v>
      </c>
      <c r="Y19" s="12">
        <f>ROUND(S19+(O19*W19),4)</f>
        <v>15.7554</v>
      </c>
      <c r="Z19" s="12" t="s">
        <v>10</v>
      </c>
      <c r="AA19" s="12">
        <v>0</v>
      </c>
      <c r="AB19" s="12">
        <f t="shared" si="8"/>
        <v>0</v>
      </c>
      <c r="AC19" s="35">
        <v>9.65</v>
      </c>
      <c r="AD19" s="12">
        <v>0</v>
      </c>
      <c r="AE19" s="35">
        <f>ROUND((Y19+AP19+BB19)*AC19/100,4)</f>
        <v>4.2957999999999998</v>
      </c>
      <c r="AF19" s="12">
        <v>12.4321</v>
      </c>
      <c r="AG19" s="35">
        <f>ROUND(Y19+AP19+AE19+BC19,4)</f>
        <v>48.812100000000001</v>
      </c>
      <c r="AH19" s="12">
        <v>4</v>
      </c>
      <c r="AI19" s="12">
        <v>3</v>
      </c>
      <c r="AJ19" s="17" t="s">
        <v>12</v>
      </c>
      <c r="AK19" s="18">
        <v>0</v>
      </c>
      <c r="AL19" s="12">
        <v>4</v>
      </c>
      <c r="AM19" s="12" t="s">
        <v>76</v>
      </c>
      <c r="AN19" s="12" t="s">
        <v>76</v>
      </c>
      <c r="AO19" s="12">
        <v>0</v>
      </c>
      <c r="AP19" s="12">
        <f>ROUND(AF19*O19,4)</f>
        <v>24.8642</v>
      </c>
      <c r="AQ19" s="12">
        <f>ROUND(O19*W19,4)</f>
        <v>4.4711999999999996</v>
      </c>
      <c r="AR19" s="12">
        <v>0</v>
      </c>
      <c r="AS19" s="12">
        <v>0</v>
      </c>
      <c r="AT19" s="12">
        <v>0</v>
      </c>
      <c r="AU19" s="12">
        <v>0</v>
      </c>
      <c r="AV19" s="12">
        <v>0</v>
      </c>
      <c r="AW19" s="12">
        <v>0</v>
      </c>
      <c r="AX19" s="12"/>
      <c r="AY19" s="12"/>
      <c r="AZ19" s="12"/>
      <c r="BA19" s="12"/>
      <c r="BB19" s="12">
        <v>3.8967000000000001</v>
      </c>
      <c r="BC19" s="35">
        <f>ROUND((AD19+BB19),4)</f>
        <v>3.8967000000000001</v>
      </c>
      <c r="BD19" s="12" t="s">
        <v>10</v>
      </c>
      <c r="BE19" s="12" t="s">
        <v>10</v>
      </c>
      <c r="BF19" s="12">
        <v>0</v>
      </c>
      <c r="BG19" s="12">
        <v>0</v>
      </c>
      <c r="BH19" s="12">
        <v>0</v>
      </c>
      <c r="BI19" s="12" t="s">
        <v>15</v>
      </c>
      <c r="BJ19" s="12" t="s">
        <v>15</v>
      </c>
      <c r="BK19" s="12" t="s">
        <v>15</v>
      </c>
      <c r="BL19" s="12"/>
      <c r="BM19" s="12" t="s">
        <v>15</v>
      </c>
      <c r="BN19" t="s">
        <v>1055</v>
      </c>
    </row>
    <row r="20" spans="1:65" s="11" customFormat="1">
      <c r="A20" s="122"/>
      <c r="B20" s="24" t="s">
        <v>81</v>
      </c>
      <c r="C20" s="25"/>
      <c r="D20" s="25"/>
      <c r="E20" s="25"/>
      <c r="F20" s="25"/>
      <c r="G20" s="25"/>
      <c r="H20" s="25"/>
      <c r="I20" s="25"/>
      <c r="J20" s="49"/>
      <c r="K20" s="26"/>
      <c r="L20" s="26"/>
      <c r="M20" s="26"/>
      <c r="N20" s="26"/>
      <c r="O20" s="26"/>
      <c r="P20" s="22"/>
      <c r="Q20" s="21"/>
      <c r="R20" s="21"/>
      <c r="S20" s="27"/>
      <c r="T20" s="27"/>
      <c r="U20" s="27"/>
      <c r="V20" s="21"/>
      <c r="W20" s="21"/>
      <c r="X20" s="21"/>
      <c r="Y20" s="27"/>
      <c r="Z20" s="27"/>
      <c r="AA20" s="21"/>
      <c r="AB20" s="21"/>
      <c r="AC20" s="27"/>
      <c r="AD20" s="27"/>
      <c r="AE20" s="21"/>
      <c r="AF20" s="27"/>
      <c r="AG20" s="27"/>
      <c r="AH20" s="21"/>
      <c r="AI20" s="27"/>
      <c r="AJ20" s="21"/>
      <c r="AK20" s="27"/>
      <c r="AL20" s="27"/>
      <c r="AM20" s="21"/>
      <c r="AN20" s="21"/>
      <c r="AO20" s="21"/>
      <c r="AP20" s="27"/>
      <c r="AQ20" s="28"/>
      <c r="AR20" s="28"/>
      <c r="AS20" s="21"/>
      <c r="AT20" s="21"/>
      <c r="AU20" s="21"/>
      <c r="AV20" s="21"/>
      <c r="AW20" s="27"/>
      <c r="AX20" s="21"/>
      <c r="AY20" s="21"/>
      <c r="AZ20" s="21"/>
      <c r="BA20" s="21"/>
      <c r="BB20" s="21"/>
      <c r="BC20" s="21"/>
      <c r="BD20" s="21"/>
      <c r="BE20" s="21"/>
      <c r="BF20" s="21"/>
      <c r="BG20" s="21"/>
      <c r="BH20" s="21"/>
      <c r="BI20" s="21"/>
      <c r="BJ20" s="21"/>
      <c r="BK20" s="21"/>
      <c r="BL20" s="21"/>
      <c r="BM20" s="21"/>
      <c r="BN20" t="s">
        <v>1205</v>
      </c>
    </row>
    <row r="21" spans="1:65" s="11" customFormat="1">
      <c r="A21" s="22">
        <v>15</v>
      </c>
      <c r="B21" s="29" t="s">
        <v>80</v>
      </c>
      <c r="C21" s="15" t="s">
        <v>115</v>
      </c>
      <c r="D21" s="15" t="s">
        <v>16</v>
      </c>
      <c r="E21" s="15" t="s">
        <v>6</v>
      </c>
      <c r="F21" s="14" t="s">
        <v>11</v>
      </c>
      <c r="G21" s="14"/>
      <c r="H21" s="14" t="s">
        <v>14</v>
      </c>
      <c r="I21" s="14" t="s">
        <v>14</v>
      </c>
      <c r="J21" s="14" t="s">
        <v>77</v>
      </c>
      <c r="K21" s="14" t="s">
        <v>74</v>
      </c>
      <c r="L21" s="50" t="s">
        <v>100</v>
      </c>
      <c r="M21" s="14" t="s">
        <v>75</v>
      </c>
      <c r="N21" s="14">
        <v>0</v>
      </c>
      <c r="O21" s="19">
        <v>2</v>
      </c>
      <c r="P21" s="12">
        <v>4.9800000000000004</v>
      </c>
      <c r="Q21" s="12">
        <v>0</v>
      </c>
      <c r="R21" s="12">
        <v>0</v>
      </c>
      <c r="S21" s="12">
        <f>ROUND(O21*P21,2)</f>
        <v>9.9600000000000009</v>
      </c>
      <c r="T21" s="12" t="s">
        <v>10</v>
      </c>
      <c r="U21" s="4">
        <v>0</v>
      </c>
      <c r="V21" s="4">
        <v>0</v>
      </c>
      <c r="W21" s="12">
        <v>0.45</v>
      </c>
      <c r="X21" s="12">
        <v>0</v>
      </c>
      <c r="Y21" s="12">
        <f>ROUND(S21+(O21*W21),2)</f>
        <v>10.86</v>
      </c>
      <c r="Z21" s="12" t="s">
        <v>10</v>
      </c>
      <c r="AA21" s="4">
        <v>0</v>
      </c>
      <c r="AB21" s="4">
        <f t="shared" ref="AB21:AB24" si="9">U21</f>
        <v>0</v>
      </c>
      <c r="AC21" s="12">
        <v>7.85</v>
      </c>
      <c r="AD21" s="4">
        <v>0</v>
      </c>
      <c r="AE21" s="16">
        <f>ROUND((Y21+AP21+BB21)*AC21/100,2)</f>
        <v>9.6</v>
      </c>
      <c r="AF21" s="12">
        <v>54.62</v>
      </c>
      <c r="AG21" s="16">
        <f>ROUND(Y21+AP21+AE21+BC21,2)</f>
        <v>131.94999999999999</v>
      </c>
      <c r="AH21" s="12">
        <v>2</v>
      </c>
      <c r="AI21" s="12">
        <v>4</v>
      </c>
      <c r="AJ21" s="17" t="s">
        <v>12</v>
      </c>
      <c r="AK21" s="18">
        <v>0</v>
      </c>
      <c r="AL21" s="12">
        <v>2</v>
      </c>
      <c r="AM21" s="12" t="s">
        <v>76</v>
      </c>
      <c r="AN21" s="12" t="s">
        <v>76</v>
      </c>
      <c r="AO21" s="12">
        <v>0</v>
      </c>
      <c r="AP21" s="12">
        <f>ROUND(AF21*O21,2)</f>
        <v>109.24</v>
      </c>
      <c r="AQ21" s="12">
        <f>ROUND(O21*W21,2)</f>
        <v>0.9</v>
      </c>
      <c r="AR21" s="12">
        <v>0</v>
      </c>
      <c r="AS21" s="12">
        <v>0</v>
      </c>
      <c r="AT21" s="12">
        <v>0</v>
      </c>
      <c r="AU21" s="12">
        <v>0</v>
      </c>
      <c r="AV21" s="12">
        <v>0</v>
      </c>
      <c r="AW21" s="12">
        <v>0</v>
      </c>
      <c r="AX21" s="12"/>
      <c r="AY21" s="12"/>
      <c r="AZ21" s="12"/>
      <c r="BA21" s="12"/>
      <c r="BB21" s="16">
        <v>2.25</v>
      </c>
      <c r="BC21" s="16">
        <f>ROUND((AD21+BB21),2)</f>
        <v>2.25</v>
      </c>
      <c r="BD21" s="12" t="s">
        <v>10</v>
      </c>
      <c r="BE21" s="12" t="s">
        <v>10</v>
      </c>
      <c r="BF21" s="12">
        <v>0</v>
      </c>
      <c r="BG21" s="12">
        <v>0</v>
      </c>
      <c r="BH21" s="12">
        <v>0</v>
      </c>
      <c r="BI21" s="12" t="s">
        <v>15</v>
      </c>
      <c r="BJ21" s="12" t="s">
        <v>15</v>
      </c>
      <c r="BK21" s="12" t="s">
        <v>15</v>
      </c>
      <c r="BL21" s="12"/>
      <c r="BM21" s="12" t="s">
        <v>15</v>
      </c>
      <c r="BN21" t="s">
        <v>1055</v>
      </c>
    </row>
    <row r="22" spans="1:65" s="11" customFormat="1">
      <c r="A22" s="13">
        <v>16</v>
      </c>
      <c r="B22" s="32" t="s">
        <v>91</v>
      </c>
      <c r="C22" s="15" t="s">
        <v>115</v>
      </c>
      <c r="D22" s="12" t="s">
        <v>16</v>
      </c>
      <c r="E22" s="15" t="s">
        <v>6</v>
      </c>
      <c r="F22" s="14" t="s">
        <v>11</v>
      </c>
      <c r="G22" s="14"/>
      <c r="H22" s="14" t="s">
        <v>15</v>
      </c>
      <c r="I22" s="14" t="s">
        <v>15</v>
      </c>
      <c r="J22" s="14" t="s">
        <v>92</v>
      </c>
      <c r="K22" s="14" t="s">
        <v>74</v>
      </c>
      <c r="L22" s="50" t="s">
        <v>100</v>
      </c>
      <c r="M22" s="14" t="s">
        <v>75</v>
      </c>
      <c r="N22" s="14">
        <v>0</v>
      </c>
      <c r="O22" s="19">
        <v>3</v>
      </c>
      <c r="P22" s="12">
        <v>1.742</v>
      </c>
      <c r="Q22" s="12">
        <v>0</v>
      </c>
      <c r="R22" s="12">
        <v>0</v>
      </c>
      <c r="S22" s="12">
        <f>ROUND(O22*P22,3)</f>
        <v>5.226</v>
      </c>
      <c r="T22" s="12" t="s">
        <v>10</v>
      </c>
      <c r="U22" s="12">
        <v>0</v>
      </c>
      <c r="V22" s="12">
        <v>0</v>
      </c>
      <c r="W22" s="12">
        <v>1.2310000000000001</v>
      </c>
      <c r="X22" s="12">
        <v>0</v>
      </c>
      <c r="Y22" s="12">
        <f>ROUND(S22+(O22*W22),3)</f>
        <v>8.9190000000000005</v>
      </c>
      <c r="Z22" s="12" t="s">
        <v>10</v>
      </c>
      <c r="AA22" s="12">
        <v>0</v>
      </c>
      <c r="AB22" s="12">
        <f t="shared" si="9"/>
        <v>0</v>
      </c>
      <c r="AC22" s="18">
        <v>8.1199999999999992</v>
      </c>
      <c r="AD22" s="12">
        <v>0</v>
      </c>
      <c r="AE22" s="18">
        <f>ROUND((Y22+AP22+BB22)*AC22/100,3)</f>
        <v>3.6059999999999999</v>
      </c>
      <c r="AF22" s="12">
        <v>9.5670000000000002</v>
      </c>
      <c r="AG22" s="18">
        <f>ROUND(Y22+AP22+AE22+BC22,3)</f>
        <v>48.015000000000001</v>
      </c>
      <c r="AH22" s="12">
        <v>3</v>
      </c>
      <c r="AI22" s="12">
        <v>2</v>
      </c>
      <c r="AJ22" s="17" t="s">
        <v>12</v>
      </c>
      <c r="AK22" s="18">
        <v>0</v>
      </c>
      <c r="AL22" s="12">
        <v>3</v>
      </c>
      <c r="AM22" s="12" t="s">
        <v>76</v>
      </c>
      <c r="AN22" s="12" t="s">
        <v>76</v>
      </c>
      <c r="AO22" s="12">
        <v>0</v>
      </c>
      <c r="AP22" s="12">
        <f>ROUND(AF22*O22,3)</f>
        <v>28.701000000000001</v>
      </c>
      <c r="AQ22" s="12">
        <f>ROUND(O22*W22,3)</f>
        <v>3.6930000000000001</v>
      </c>
      <c r="AR22" s="12">
        <v>0</v>
      </c>
      <c r="AS22" s="12">
        <v>0</v>
      </c>
      <c r="AT22" s="12">
        <v>0</v>
      </c>
      <c r="AU22" s="12">
        <v>0</v>
      </c>
      <c r="AV22" s="12">
        <v>0</v>
      </c>
      <c r="AW22" s="12">
        <v>0</v>
      </c>
      <c r="AX22" s="12"/>
      <c r="AY22" s="12"/>
      <c r="AZ22" s="12"/>
      <c r="BA22" s="12"/>
      <c r="BB22" s="33">
        <v>6.7889999999999997</v>
      </c>
      <c r="BC22" s="18">
        <f>ROUND((AD22+BB22),3)</f>
        <v>6.7889999999999997</v>
      </c>
      <c r="BD22" s="12" t="s">
        <v>10</v>
      </c>
      <c r="BE22" s="12" t="s">
        <v>10</v>
      </c>
      <c r="BF22" s="12">
        <v>0</v>
      </c>
      <c r="BG22" s="12">
        <v>0</v>
      </c>
      <c r="BH22" s="12">
        <v>0</v>
      </c>
      <c r="BI22" s="12" t="s">
        <v>15</v>
      </c>
      <c r="BJ22" s="12" t="s">
        <v>15</v>
      </c>
      <c r="BK22" s="12" t="s">
        <v>15</v>
      </c>
      <c r="BL22" s="12"/>
      <c r="BM22" s="12" t="s">
        <v>15</v>
      </c>
      <c r="BN22" t="s">
        <v>1055</v>
      </c>
    </row>
    <row r="23" spans="1:65" s="11" customFormat="1">
      <c r="A23" s="22">
        <v>17</v>
      </c>
      <c r="B23" s="34" t="s">
        <v>93</v>
      </c>
      <c r="C23" s="15" t="s">
        <v>115</v>
      </c>
      <c r="D23" s="12" t="s">
        <v>16</v>
      </c>
      <c r="E23" s="15" t="s">
        <v>6</v>
      </c>
      <c r="F23" s="14" t="s">
        <v>11</v>
      </c>
      <c r="G23" s="14"/>
      <c r="H23" s="14" t="s">
        <v>14</v>
      </c>
      <c r="I23" s="14" t="s">
        <v>94</v>
      </c>
      <c r="J23" s="14" t="s">
        <v>99</v>
      </c>
      <c r="K23" s="14" t="s">
        <v>74</v>
      </c>
      <c r="L23" s="50" t="s">
        <v>100</v>
      </c>
      <c r="M23" s="14" t="s">
        <v>75</v>
      </c>
      <c r="N23" s="14">
        <v>0</v>
      </c>
      <c r="O23" s="19">
        <v>2</v>
      </c>
      <c r="P23" s="12">
        <v>14.642099999999999</v>
      </c>
      <c r="Q23" s="12">
        <v>0</v>
      </c>
      <c r="R23" s="12">
        <v>0</v>
      </c>
      <c r="S23" s="12">
        <f>ROUND(O23*P23,4)</f>
        <v>29.284199999999998</v>
      </c>
      <c r="T23" s="12" t="s">
        <v>10</v>
      </c>
      <c r="U23" s="12">
        <v>0</v>
      </c>
      <c r="V23" s="12">
        <v>0</v>
      </c>
      <c r="W23" s="12">
        <v>2.2355999999999998</v>
      </c>
      <c r="X23" s="12">
        <v>0</v>
      </c>
      <c r="Y23" s="12">
        <f>ROUND(S23+(O23*W23),4)</f>
        <v>33.755400000000002</v>
      </c>
      <c r="Z23" s="12" t="s">
        <v>10</v>
      </c>
      <c r="AA23" s="12">
        <v>0</v>
      </c>
      <c r="AB23" s="12">
        <f t="shared" si="9"/>
        <v>0</v>
      </c>
      <c r="AC23" s="35">
        <v>9.65</v>
      </c>
      <c r="AD23" s="12">
        <v>0</v>
      </c>
      <c r="AE23" s="35">
        <f>ROUND((Y23+AP23+BB23)*AC23/100,4)</f>
        <v>6.0327999999999999</v>
      </c>
      <c r="AF23" s="12">
        <v>12.4321</v>
      </c>
      <c r="AG23" s="35">
        <f>ROUND(Y23+AP23+AE23+BC23,4)</f>
        <v>68.549099999999996</v>
      </c>
      <c r="AH23" s="12">
        <v>4</v>
      </c>
      <c r="AI23" s="12">
        <v>3</v>
      </c>
      <c r="AJ23" s="17" t="s">
        <v>12</v>
      </c>
      <c r="AK23" s="18">
        <v>0</v>
      </c>
      <c r="AL23" s="12">
        <v>4</v>
      </c>
      <c r="AM23" s="12" t="s">
        <v>76</v>
      </c>
      <c r="AN23" s="12" t="s">
        <v>76</v>
      </c>
      <c r="AO23" s="12">
        <v>0</v>
      </c>
      <c r="AP23" s="12">
        <f>ROUND(AF23*O23,4)</f>
        <v>24.8642</v>
      </c>
      <c r="AQ23" s="12">
        <f>ROUND(O23*W23,4)</f>
        <v>4.4711999999999996</v>
      </c>
      <c r="AR23" s="12">
        <v>0</v>
      </c>
      <c r="AS23" s="12">
        <v>0</v>
      </c>
      <c r="AT23" s="12">
        <v>0</v>
      </c>
      <c r="AU23" s="12">
        <v>0</v>
      </c>
      <c r="AV23" s="12">
        <v>0</v>
      </c>
      <c r="AW23" s="12">
        <v>0</v>
      </c>
      <c r="AX23" s="12"/>
      <c r="AY23" s="12"/>
      <c r="AZ23" s="12"/>
      <c r="BA23" s="12"/>
      <c r="BB23" s="12">
        <v>3.8967000000000001</v>
      </c>
      <c r="BC23" s="35">
        <f>ROUND((AD23+BB23),4)</f>
        <v>3.8967000000000001</v>
      </c>
      <c r="BD23" s="12" t="s">
        <v>10</v>
      </c>
      <c r="BE23" s="12" t="s">
        <v>10</v>
      </c>
      <c r="BF23" s="12">
        <v>0</v>
      </c>
      <c r="BG23" s="12">
        <v>0</v>
      </c>
      <c r="BH23" s="12">
        <v>0</v>
      </c>
      <c r="BI23" s="12" t="s">
        <v>15</v>
      </c>
      <c r="BJ23" s="12" t="s">
        <v>15</v>
      </c>
      <c r="BK23" s="12" t="s">
        <v>15</v>
      </c>
      <c r="BL23" s="12"/>
      <c r="BM23" s="12" t="s">
        <v>15</v>
      </c>
      <c r="BN23" t="s">
        <v>1055</v>
      </c>
    </row>
    <row r="24" spans="1:65" s="11" customFormat="1">
      <c r="A24" s="13">
        <v>18</v>
      </c>
      <c r="B24" s="29" t="s">
        <v>80</v>
      </c>
      <c r="C24" s="15" t="s">
        <v>115</v>
      </c>
      <c r="D24" s="15" t="s">
        <v>16</v>
      </c>
      <c r="E24" s="15" t="s">
        <v>6</v>
      </c>
      <c r="F24" s="14" t="s">
        <v>11</v>
      </c>
      <c r="G24" s="14"/>
      <c r="H24" s="14" t="s">
        <v>14</v>
      </c>
      <c r="I24" s="14" t="s">
        <v>14</v>
      </c>
      <c r="J24" s="14" t="s">
        <v>77</v>
      </c>
      <c r="K24" s="14" t="s">
        <v>74</v>
      </c>
      <c r="L24" s="15" t="s">
        <v>13</v>
      </c>
      <c r="M24" s="14" t="s">
        <v>75</v>
      </c>
      <c r="N24" s="14">
        <v>0</v>
      </c>
      <c r="O24" s="19">
        <v>2</v>
      </c>
      <c r="P24" s="12">
        <v>19.98</v>
      </c>
      <c r="Q24" s="12">
        <v>0</v>
      </c>
      <c r="R24" s="12">
        <v>0</v>
      </c>
      <c r="S24" s="12">
        <f>ROUND(O24*P24,2)</f>
        <v>39.96</v>
      </c>
      <c r="T24" s="12" t="s">
        <v>10</v>
      </c>
      <c r="U24" s="4">
        <v>10.25</v>
      </c>
      <c r="V24" s="18">
        <f t="shared" ref="V24:V25" si="10">S24-U24</f>
        <v>29.71</v>
      </c>
      <c r="W24" s="12">
        <v>0.45</v>
      </c>
      <c r="X24" s="12">
        <v>0</v>
      </c>
      <c r="Y24" s="12">
        <f>ROUND(S24+(O24*W24),2)</f>
        <v>40.86</v>
      </c>
      <c r="Z24" s="12" t="s">
        <v>10</v>
      </c>
      <c r="AA24" s="4">
        <v>10.43</v>
      </c>
      <c r="AB24" s="4">
        <f t="shared" si="9"/>
        <v>10.25</v>
      </c>
      <c r="AC24" s="12">
        <v>7.85</v>
      </c>
      <c r="AD24" s="4">
        <v>0</v>
      </c>
      <c r="AE24" s="16">
        <f>ROUND((Y24+AP24+BB24)*AC24/100,2)</f>
        <v>11.96</v>
      </c>
      <c r="AF24" s="12">
        <v>54.62</v>
      </c>
      <c r="AG24" s="16">
        <f>ROUND(Y24+AP24+AE24+BC24,2)</f>
        <v>164.31</v>
      </c>
      <c r="AH24" s="12">
        <v>2</v>
      </c>
      <c r="AI24" s="12">
        <v>4</v>
      </c>
      <c r="AJ24" s="17" t="s">
        <v>12</v>
      </c>
      <c r="AK24" s="18">
        <v>0</v>
      </c>
      <c r="AL24" s="12">
        <v>2</v>
      </c>
      <c r="AM24" s="12" t="s">
        <v>76</v>
      </c>
      <c r="AN24" s="12" t="s">
        <v>76</v>
      </c>
      <c r="AO24" s="12">
        <v>0</v>
      </c>
      <c r="AP24" s="12">
        <f>ROUND(AF24*O24,2)</f>
        <v>109.24</v>
      </c>
      <c r="AQ24" s="12">
        <f>ROUND(O24*W24,2)</f>
        <v>0.9</v>
      </c>
      <c r="AR24" s="12">
        <v>0</v>
      </c>
      <c r="AS24" s="12">
        <v>0</v>
      </c>
      <c r="AT24" s="12">
        <v>0</v>
      </c>
      <c r="AU24" s="12">
        <v>0</v>
      </c>
      <c r="AV24" s="12">
        <v>0</v>
      </c>
      <c r="AW24" s="12">
        <v>0</v>
      </c>
      <c r="AX24" s="12"/>
      <c r="AY24" s="12"/>
      <c r="AZ24" s="12"/>
      <c r="BA24" s="12"/>
      <c r="BB24" s="16">
        <v>2.25</v>
      </c>
      <c r="BC24" s="16">
        <f>ROUND((AD24+BB24),2)</f>
        <v>2.25</v>
      </c>
      <c r="BD24" s="12" t="s">
        <v>10</v>
      </c>
      <c r="BE24" s="12" t="s">
        <v>10</v>
      </c>
      <c r="BF24" s="12">
        <v>0</v>
      </c>
      <c r="BG24" s="12">
        <v>0</v>
      </c>
      <c r="BH24" s="12">
        <v>0</v>
      </c>
      <c r="BI24" s="12" t="s">
        <v>15</v>
      </c>
      <c r="BJ24" s="12" t="s">
        <v>15</v>
      </c>
      <c r="BK24" s="12" t="s">
        <v>15</v>
      </c>
      <c r="BL24" s="12"/>
      <c r="BM24" s="12" t="s">
        <v>15</v>
      </c>
      <c r="BN24" t="s">
        <v>1055</v>
      </c>
    </row>
    <row r="25" spans="1:65" s="11" customFormat="1">
      <c r="A25" s="22">
        <v>19</v>
      </c>
      <c r="B25" s="32" t="s">
        <v>91</v>
      </c>
      <c r="C25" s="15" t="s">
        <v>115</v>
      </c>
      <c r="D25" s="12" t="s">
        <v>16</v>
      </c>
      <c r="E25" s="15" t="s">
        <v>6</v>
      </c>
      <c r="F25" s="14" t="s">
        <v>11</v>
      </c>
      <c r="G25" s="14"/>
      <c r="H25" s="14" t="s">
        <v>15</v>
      </c>
      <c r="I25" s="14" t="s">
        <v>101</v>
      </c>
      <c r="J25" s="14" t="s">
        <v>99</v>
      </c>
      <c r="K25" s="14" t="s">
        <v>74</v>
      </c>
      <c r="L25" s="15" t="s">
        <v>13</v>
      </c>
      <c r="M25" s="14" t="s">
        <v>75</v>
      </c>
      <c r="N25" s="14">
        <v>0</v>
      </c>
      <c r="O25" s="19">
        <v>2</v>
      </c>
      <c r="P25" s="12">
        <v>21.712</v>
      </c>
      <c r="Q25" s="12">
        <v>0</v>
      </c>
      <c r="R25" s="12">
        <v>0</v>
      </c>
      <c r="S25" s="18">
        <f>ROUND(O25*P25,3)</f>
        <v>43.423999999999999</v>
      </c>
      <c r="T25" s="12" t="s">
        <v>10</v>
      </c>
      <c r="U25" s="18">
        <v>6.25</v>
      </c>
      <c r="V25" s="18">
        <f t="shared" si="10"/>
        <v>37.173999999999999</v>
      </c>
      <c r="W25" s="12">
        <v>4.8120000000000003</v>
      </c>
      <c r="X25" s="12">
        <v>0</v>
      </c>
      <c r="Y25" s="12">
        <f>ROUND(S25-U25+(O25*W25),3)</f>
        <v>46.798000000000002</v>
      </c>
      <c r="Z25" s="12" t="s">
        <v>10</v>
      </c>
      <c r="AA25" s="12">
        <v>11.234999999999999</v>
      </c>
      <c r="AB25" s="33">
        <f>U25</f>
        <v>6.25</v>
      </c>
      <c r="AC25" s="18">
        <v>1.23</v>
      </c>
      <c r="AD25" s="12">
        <f>ROUND(Y25-AA25,3)</f>
        <v>35.563000000000002</v>
      </c>
      <c r="AE25" s="18">
        <f>ROUND((Y25+AP25+BB25)*AC25/100,3)</f>
        <v>0.82799999999999996</v>
      </c>
      <c r="AF25" s="12">
        <v>8.5120000000000005</v>
      </c>
      <c r="AG25" s="18">
        <f>ROUND(Y25+AP25+AE25+BC25,3)</f>
        <v>103.669</v>
      </c>
      <c r="AH25" s="12">
        <v>3</v>
      </c>
      <c r="AI25" s="12">
        <v>2</v>
      </c>
      <c r="AJ25" s="17" t="s">
        <v>12</v>
      </c>
      <c r="AK25" s="18">
        <v>0</v>
      </c>
      <c r="AL25" s="12">
        <v>3</v>
      </c>
      <c r="AM25" s="12" t="s">
        <v>76</v>
      </c>
      <c r="AN25" s="12" t="s">
        <v>76</v>
      </c>
      <c r="AO25" s="12">
        <v>0</v>
      </c>
      <c r="AP25" s="12">
        <f>ROUND(AF25*O25,3)</f>
        <v>17.024000000000001</v>
      </c>
      <c r="AQ25" s="33">
        <f>ROUND(O25*W25,3)</f>
        <v>9.6240000000000006</v>
      </c>
      <c r="AR25" s="12">
        <v>0</v>
      </c>
      <c r="AS25" s="12">
        <v>0</v>
      </c>
      <c r="AT25" s="12">
        <v>0</v>
      </c>
      <c r="AU25" s="12">
        <v>0</v>
      </c>
      <c r="AV25" s="12">
        <v>0</v>
      </c>
      <c r="AW25" s="12">
        <v>0</v>
      </c>
      <c r="AX25" s="12"/>
      <c r="AY25" s="12"/>
      <c r="AZ25" s="12"/>
      <c r="BA25" s="12"/>
      <c r="BB25" s="12">
        <v>3.456</v>
      </c>
      <c r="BC25" s="12">
        <f>ROUND(AD25+BB25,3)</f>
        <v>39.018999999999998</v>
      </c>
      <c r="BD25" s="12" t="s">
        <v>10</v>
      </c>
      <c r="BE25" s="12" t="s">
        <v>10</v>
      </c>
      <c r="BF25" s="12">
        <v>0</v>
      </c>
      <c r="BG25" s="12">
        <v>0</v>
      </c>
      <c r="BH25" s="12">
        <v>0</v>
      </c>
      <c r="BI25" s="12" t="s">
        <v>15</v>
      </c>
      <c r="BJ25" s="12" t="s">
        <v>15</v>
      </c>
      <c r="BK25" s="12" t="s">
        <v>15</v>
      </c>
      <c r="BL25" s="12"/>
      <c r="BM25" s="12" t="s">
        <v>15</v>
      </c>
      <c r="BN25" t="s">
        <v>1055</v>
      </c>
    </row>
    <row r="26" spans="1:65" s="11" customFormat="1">
      <c r="A26" s="13">
        <v>20</v>
      </c>
      <c r="B26" s="34" t="s">
        <v>93</v>
      </c>
      <c r="C26" s="15" t="s">
        <v>115</v>
      </c>
      <c r="D26" s="12" t="s">
        <v>16</v>
      </c>
      <c r="E26" s="15" t="s">
        <v>6</v>
      </c>
      <c r="F26" s="14" t="s">
        <v>11</v>
      </c>
      <c r="G26" s="14" t="s">
        <v>102</v>
      </c>
      <c r="H26" s="14" t="s">
        <v>15</v>
      </c>
      <c r="I26" s="14" t="s">
        <v>15</v>
      </c>
      <c r="J26" s="14" t="s">
        <v>99</v>
      </c>
      <c r="K26" s="51" t="s">
        <v>74</v>
      </c>
      <c r="L26" s="51" t="s">
        <v>13</v>
      </c>
      <c r="M26" s="14" t="s">
        <v>75</v>
      </c>
      <c r="N26" s="14">
        <v>0</v>
      </c>
      <c r="O26" s="19">
        <v>2</v>
      </c>
      <c r="P26" s="12">
        <v>5.6986999999999997</v>
      </c>
      <c r="Q26" s="12">
        <v>0</v>
      </c>
      <c r="R26" s="12">
        <v>0</v>
      </c>
      <c r="S26" s="12">
        <f>ROUND((O26*P26),4)</f>
        <v>11.397399999999999</v>
      </c>
      <c r="T26" s="12" t="s">
        <v>10</v>
      </c>
      <c r="U26" s="12">
        <v>4.6986999999999997</v>
      </c>
      <c r="V26" s="12">
        <v>4.6986999999999997</v>
      </c>
      <c r="W26" s="12">
        <v>5.3261000000000003</v>
      </c>
      <c r="X26" s="12">
        <v>0</v>
      </c>
      <c r="Y26" s="35">
        <f>ROUND((S26-V26)+W26,4)</f>
        <v>12.024800000000001</v>
      </c>
      <c r="Z26" s="12" t="s">
        <v>10</v>
      </c>
      <c r="AA26" s="35">
        <v>5.6986999999999997</v>
      </c>
      <c r="AB26" s="12">
        <v>4.6986999999999997</v>
      </c>
      <c r="AC26" s="52">
        <v>6.35</v>
      </c>
      <c r="AD26" s="35">
        <v>5.6986999999999997</v>
      </c>
      <c r="AE26" s="35">
        <f>ROUND((Y26+AP26+BB26)*AC26/100,4)</f>
        <v>9.0443999999999996</v>
      </c>
      <c r="AF26" s="35">
        <v>63.254800000000003</v>
      </c>
      <c r="AG26" s="35">
        <f>ROUND(Y26+AP26+AE26+BC26,4)</f>
        <v>157.17420000000001</v>
      </c>
      <c r="AH26" s="12">
        <v>4</v>
      </c>
      <c r="AI26" s="12">
        <v>4</v>
      </c>
      <c r="AJ26" s="53" t="s">
        <v>103</v>
      </c>
      <c r="AK26" s="35">
        <v>5.2365000000000004</v>
      </c>
      <c r="AL26" s="12">
        <v>4</v>
      </c>
      <c r="AM26" s="12" t="s">
        <v>76</v>
      </c>
      <c r="AN26" s="12" t="s">
        <v>76</v>
      </c>
      <c r="AO26" s="12">
        <v>0</v>
      </c>
      <c r="AP26" s="12">
        <f>ROUND(AF26*O26,4)</f>
        <v>126.50960000000001</v>
      </c>
      <c r="AQ26" s="12">
        <v>0</v>
      </c>
      <c r="AR26" s="12">
        <v>0</v>
      </c>
      <c r="AS26" s="12">
        <v>0</v>
      </c>
      <c r="AT26" s="12">
        <v>0</v>
      </c>
      <c r="AU26" s="12">
        <v>0</v>
      </c>
      <c r="AV26" s="12">
        <v>0</v>
      </c>
      <c r="AW26" s="12">
        <v>0</v>
      </c>
      <c r="AX26" s="12"/>
      <c r="AY26" s="12"/>
      <c r="AZ26" s="12"/>
      <c r="BA26" s="12"/>
      <c r="BB26" s="12">
        <v>3.8967000000000001</v>
      </c>
      <c r="BC26" s="35">
        <f>ROUND((AD26+BB26),4)</f>
        <v>9.5953999999999997</v>
      </c>
      <c r="BD26" s="12" t="s">
        <v>10</v>
      </c>
      <c r="BE26" s="12" t="s">
        <v>10</v>
      </c>
      <c r="BF26" s="12">
        <v>0</v>
      </c>
      <c r="BG26" s="12">
        <v>0</v>
      </c>
      <c r="BH26" s="12">
        <v>0</v>
      </c>
      <c r="BI26" s="12" t="s">
        <v>15</v>
      </c>
      <c r="BJ26" s="12" t="s">
        <v>15</v>
      </c>
      <c r="BK26" s="12" t="s">
        <v>15</v>
      </c>
      <c r="BL26" s="12"/>
      <c r="BM26" s="12"/>
      <c r="BN26" t="s">
        <v>1055</v>
      </c>
    </row>
    <row r="27" spans="1:65" s="11" customFormat="1">
      <c r="A27" s="13"/>
      <c r="B27" s="23" t="s">
        <v>88</v>
      </c>
      <c r="C27" s="24"/>
      <c r="D27" s="25"/>
      <c r="E27" s="25"/>
      <c r="F27" s="25"/>
      <c r="G27" s="25"/>
      <c r="H27" s="25"/>
      <c r="I27" s="25"/>
      <c r="J27" s="25"/>
      <c r="K27" s="26"/>
      <c r="L27" s="26"/>
      <c r="M27" s="26"/>
      <c r="N27" s="26"/>
      <c r="O27" s="26"/>
      <c r="P27" s="22"/>
      <c r="Q27" s="21"/>
      <c r="R27" s="21"/>
      <c r="S27" s="27"/>
      <c r="T27" s="27"/>
      <c r="U27" s="27"/>
      <c r="V27" s="21"/>
      <c r="W27" s="21"/>
      <c r="X27" s="21"/>
      <c r="Y27" s="27"/>
      <c r="Z27" s="27"/>
      <c r="AA27" s="21"/>
      <c r="AB27" s="21"/>
      <c r="AC27" s="27"/>
      <c r="AD27" s="27"/>
      <c r="AE27" s="21"/>
      <c r="AF27" s="27"/>
      <c r="AG27" s="27"/>
      <c r="AH27" s="21"/>
      <c r="AI27" s="27"/>
      <c r="AJ27" s="21"/>
      <c r="AK27" s="27"/>
      <c r="AL27" s="27"/>
      <c r="AM27" s="21"/>
      <c r="AN27" s="21"/>
      <c r="AO27" s="22"/>
      <c r="AP27" s="27"/>
      <c r="AQ27" s="28"/>
      <c r="AR27" s="28"/>
      <c r="AS27" s="21"/>
      <c r="AT27" s="21"/>
      <c r="AU27" s="21"/>
      <c r="AV27" s="21"/>
      <c r="AW27" s="27"/>
      <c r="AX27" s="21"/>
      <c r="AY27" s="21"/>
      <c r="AZ27" s="21"/>
      <c r="BA27" s="21"/>
      <c r="BB27" s="21"/>
      <c r="BC27" s="21"/>
      <c r="BD27" s="21"/>
      <c r="BE27" s="21"/>
      <c r="BF27" s="21"/>
      <c r="BG27" s="21"/>
      <c r="BH27" s="21"/>
      <c r="BI27" s="21"/>
      <c r="BJ27" s="21"/>
      <c r="BK27" s="21"/>
      <c r="BL27" s="21"/>
      <c r="BM27" s="21"/>
      <c r="BN27" t="s">
        <v>1205</v>
      </c>
    </row>
    <row r="28" spans="1:65" s="11" customFormat="1">
      <c r="A28" s="22">
        <v>21</v>
      </c>
      <c r="B28" s="32" t="s">
        <v>91</v>
      </c>
      <c r="C28" s="16" t="s">
        <v>115</v>
      </c>
      <c r="D28" s="12" t="s">
        <v>16</v>
      </c>
      <c r="E28" s="15" t="s">
        <v>6</v>
      </c>
      <c r="F28" s="14" t="s">
        <v>11</v>
      </c>
      <c r="G28" s="14"/>
      <c r="H28" s="14" t="s">
        <v>15</v>
      </c>
      <c r="I28" s="14" t="s">
        <v>101</v>
      </c>
      <c r="J28" s="14" t="s">
        <v>99</v>
      </c>
      <c r="K28" s="14" t="s">
        <v>74</v>
      </c>
      <c r="L28" s="15" t="s">
        <v>13</v>
      </c>
      <c r="M28" s="14" t="s">
        <v>75</v>
      </c>
      <c r="N28" s="14">
        <v>0</v>
      </c>
      <c r="O28" s="19">
        <v>2</v>
      </c>
      <c r="P28" s="12">
        <v>100.712</v>
      </c>
      <c r="Q28" s="12">
        <v>0</v>
      </c>
      <c r="R28" s="12">
        <v>0</v>
      </c>
      <c r="S28" s="18">
        <f>ROUND(O28*P28,3)</f>
        <v>201.42400000000001</v>
      </c>
      <c r="T28" s="12" t="s">
        <v>10</v>
      </c>
      <c r="U28" s="18">
        <v>142.25</v>
      </c>
      <c r="V28" s="18">
        <f t="shared" ref="V28" si="11">S28-U28</f>
        <v>59.174000000000007</v>
      </c>
      <c r="W28" s="12">
        <v>4.8120000000000003</v>
      </c>
      <c r="X28" s="12">
        <v>0</v>
      </c>
      <c r="Y28" s="12">
        <f>ROUND(S28-U28+(O28*W28),3)</f>
        <v>68.798000000000002</v>
      </c>
      <c r="Z28" s="12" t="s">
        <v>10</v>
      </c>
      <c r="AA28" s="12">
        <v>1.2350000000000001</v>
      </c>
      <c r="AB28" s="33">
        <f>U28</f>
        <v>142.25</v>
      </c>
      <c r="AC28" s="18">
        <v>1.23</v>
      </c>
      <c r="AD28" s="12">
        <f>ROUND(Y28-AA28,3)</f>
        <v>67.563000000000002</v>
      </c>
      <c r="AE28" s="18">
        <f>ROUND((Y28+AP28+BB28)*AC28/100,3)</f>
        <v>1.0980000000000001</v>
      </c>
      <c r="AF28" s="12">
        <v>8.5120000000000005</v>
      </c>
      <c r="AG28" s="18">
        <f>ROUND(Y28+AP28+AE28+BC28,3)</f>
        <v>157.93899999999999</v>
      </c>
      <c r="AH28" s="12">
        <v>3</v>
      </c>
      <c r="AI28" s="12">
        <v>2</v>
      </c>
      <c r="AJ28" s="17" t="s">
        <v>12</v>
      </c>
      <c r="AK28" s="18">
        <v>0</v>
      </c>
      <c r="AL28" s="12">
        <v>3</v>
      </c>
      <c r="AM28" s="12" t="s">
        <v>104</v>
      </c>
      <c r="AN28" s="12" t="s">
        <v>104</v>
      </c>
      <c r="AO28" s="12">
        <v>0</v>
      </c>
      <c r="AP28" s="12">
        <f>ROUND(AF28*O28,3)</f>
        <v>17.024000000000001</v>
      </c>
      <c r="AQ28" s="33">
        <f>ROUND(O28*W28,3)</f>
        <v>9.6240000000000006</v>
      </c>
      <c r="AR28" s="12">
        <v>0</v>
      </c>
      <c r="AS28" s="12">
        <v>0</v>
      </c>
      <c r="AT28" s="12">
        <v>0</v>
      </c>
      <c r="AU28" s="12">
        <v>0</v>
      </c>
      <c r="AV28" s="12">
        <v>0</v>
      </c>
      <c r="AW28" s="12">
        <v>0</v>
      </c>
      <c r="AX28" s="12"/>
      <c r="AY28" s="12"/>
      <c r="AZ28" s="12"/>
      <c r="BA28" s="12"/>
      <c r="BB28" s="12">
        <v>3.456</v>
      </c>
      <c r="BC28" s="12">
        <f>ROUND(AD28+BB28,3)</f>
        <v>71.019000000000005</v>
      </c>
      <c r="BD28" s="12" t="s">
        <v>10</v>
      </c>
      <c r="BE28" s="12" t="s">
        <v>10</v>
      </c>
      <c r="BF28" s="12">
        <v>0</v>
      </c>
      <c r="BG28" s="12">
        <v>0</v>
      </c>
      <c r="BH28" s="12">
        <v>0</v>
      </c>
      <c r="BI28" s="12" t="s">
        <v>15</v>
      </c>
      <c r="BJ28" s="12" t="s">
        <v>15</v>
      </c>
      <c r="BK28" s="12" t="s">
        <v>15</v>
      </c>
      <c r="BL28" s="12"/>
      <c r="BM28" s="12" t="s">
        <v>15</v>
      </c>
      <c r="BN28" t="s">
        <v>1055</v>
      </c>
    </row>
    <row r="29" spans="1:65" s="11" customFormat="1">
      <c r="A29" s="13"/>
      <c r="B29" s="23" t="s">
        <v>89</v>
      </c>
      <c r="C29" s="24"/>
      <c r="D29" s="25"/>
      <c r="E29" s="25"/>
      <c r="F29" s="25"/>
      <c r="G29" s="25"/>
      <c r="H29" s="25"/>
      <c r="I29" s="25"/>
      <c r="J29" s="25"/>
      <c r="K29" s="26"/>
      <c r="L29" s="26"/>
      <c r="M29" s="26"/>
      <c r="N29" s="26"/>
      <c r="O29" s="26"/>
      <c r="P29" s="22"/>
      <c r="Q29" s="21"/>
      <c r="R29" s="21"/>
      <c r="S29" s="27"/>
      <c r="T29" s="27"/>
      <c r="U29" s="27"/>
      <c r="V29" s="21"/>
      <c r="W29" s="21"/>
      <c r="X29" s="21"/>
      <c r="Y29" s="27"/>
      <c r="Z29" s="27"/>
      <c r="AA29" s="21"/>
      <c r="AB29" s="21"/>
      <c r="AC29" s="27"/>
      <c r="AD29" s="27"/>
      <c r="AE29" s="21"/>
      <c r="AF29" s="27"/>
      <c r="AG29" s="27"/>
      <c r="AH29" s="21"/>
      <c r="AI29" s="27"/>
      <c r="AJ29" s="21"/>
      <c r="AK29" s="27"/>
      <c r="AL29" s="27"/>
      <c r="AM29" s="21"/>
      <c r="AN29" s="21"/>
      <c r="AO29" s="22"/>
      <c r="AP29" s="27"/>
      <c r="AQ29" s="28"/>
      <c r="AR29" s="28"/>
      <c r="AS29" s="21"/>
      <c r="AT29" s="21"/>
      <c r="AU29" s="21"/>
      <c r="AV29" s="21"/>
      <c r="AW29" s="27"/>
      <c r="AX29" s="21"/>
      <c r="AY29" s="21"/>
      <c r="AZ29" s="21"/>
      <c r="BA29" s="21"/>
      <c r="BB29" s="21"/>
      <c r="BC29" s="21"/>
      <c r="BD29" s="21"/>
      <c r="BE29" s="21"/>
      <c r="BF29" s="21"/>
      <c r="BG29" s="21"/>
      <c r="BH29" s="21"/>
      <c r="BI29" s="21"/>
      <c r="BJ29" s="21"/>
      <c r="BK29" s="21"/>
      <c r="BL29" s="21"/>
      <c r="BM29" s="21"/>
      <c r="BN29" t="s">
        <v>1205</v>
      </c>
    </row>
    <row r="30" spans="1:65" s="11" customFormat="1">
      <c r="A30" s="22">
        <v>22</v>
      </c>
      <c r="B30" s="32" t="s">
        <v>91</v>
      </c>
      <c r="C30" s="16" t="s">
        <v>115</v>
      </c>
      <c r="D30" s="12" t="s">
        <v>16</v>
      </c>
      <c r="E30" s="15" t="s">
        <v>6</v>
      </c>
      <c r="F30" s="14" t="s">
        <v>11</v>
      </c>
      <c r="G30" s="14"/>
      <c r="H30" s="14" t="s">
        <v>15</v>
      </c>
      <c r="I30" s="14" t="s">
        <v>101</v>
      </c>
      <c r="J30" s="14" t="s">
        <v>99</v>
      </c>
      <c r="K30" s="14" t="s">
        <v>74</v>
      </c>
      <c r="L30" s="15" t="s">
        <v>13</v>
      </c>
      <c r="M30" s="14" t="s">
        <v>75</v>
      </c>
      <c r="N30" s="14">
        <v>0</v>
      </c>
      <c r="O30" s="19">
        <v>2</v>
      </c>
      <c r="P30" s="12">
        <v>210.71199999999999</v>
      </c>
      <c r="Q30" s="12">
        <v>0</v>
      </c>
      <c r="R30" s="12">
        <v>0</v>
      </c>
      <c r="S30" s="18">
        <f>ROUND(O30*P30,3)</f>
        <v>421.42399999999998</v>
      </c>
      <c r="T30" s="12" t="s">
        <v>10</v>
      </c>
      <c r="U30" s="18">
        <v>160.25</v>
      </c>
      <c r="V30" s="18">
        <f t="shared" ref="V30" si="12">S30-U30</f>
        <v>261.17399999999998</v>
      </c>
      <c r="W30" s="12">
        <v>4.8120000000000003</v>
      </c>
      <c r="X30" s="12">
        <v>0</v>
      </c>
      <c r="Y30" s="12">
        <f>ROUND(S30-U30+(O30*W30),3)</f>
        <v>270.798</v>
      </c>
      <c r="Z30" s="12" t="s">
        <v>10</v>
      </c>
      <c r="AA30" s="12">
        <v>1.2350000000000001</v>
      </c>
      <c r="AB30" s="33">
        <f>U30</f>
        <v>160.25</v>
      </c>
      <c r="AC30" s="18">
        <v>1.23</v>
      </c>
      <c r="AD30" s="12">
        <f>ROUND(Y30-AA30,3)</f>
        <v>269.56299999999999</v>
      </c>
      <c r="AE30" s="18">
        <f>ROUND((Y30+AP30+BB30)*AC30/100,3)</f>
        <v>3.5830000000000002</v>
      </c>
      <c r="AF30" s="12">
        <v>8.5120000000000005</v>
      </c>
      <c r="AG30" s="18">
        <f>ROUND(Y30+AP30+AE30+BC30,3)</f>
        <v>564.42399999999998</v>
      </c>
      <c r="AH30" s="12">
        <v>3</v>
      </c>
      <c r="AI30" s="12">
        <v>2</v>
      </c>
      <c r="AJ30" s="17" t="s">
        <v>12</v>
      </c>
      <c r="AK30" s="18">
        <v>0</v>
      </c>
      <c r="AL30" s="12">
        <v>3</v>
      </c>
      <c r="AM30" s="12" t="s">
        <v>104</v>
      </c>
      <c r="AN30" s="12" t="s">
        <v>104</v>
      </c>
      <c r="AO30" s="12">
        <v>0</v>
      </c>
      <c r="AP30" s="12">
        <f>ROUND(AF30*O30,3)</f>
        <v>17.024000000000001</v>
      </c>
      <c r="AQ30" s="33">
        <f>ROUND(O30*W30,3)</f>
        <v>9.6240000000000006</v>
      </c>
      <c r="AR30" s="12">
        <v>0</v>
      </c>
      <c r="AS30" s="12">
        <v>0</v>
      </c>
      <c r="AT30" s="12">
        <v>0</v>
      </c>
      <c r="AU30" s="12">
        <v>0</v>
      </c>
      <c r="AV30" s="12">
        <v>0</v>
      </c>
      <c r="AW30" s="12">
        <v>0</v>
      </c>
      <c r="AX30" s="12"/>
      <c r="AY30" s="12"/>
      <c r="AZ30" s="12"/>
      <c r="BA30" s="12"/>
      <c r="BB30" s="12">
        <v>3.456</v>
      </c>
      <c r="BC30" s="12">
        <f>ROUND(AD30+BB30,3)</f>
        <v>273.01900000000001</v>
      </c>
      <c r="BD30" s="12" t="s">
        <v>10</v>
      </c>
      <c r="BE30" s="12" t="s">
        <v>10</v>
      </c>
      <c r="BF30" s="12">
        <v>0</v>
      </c>
      <c r="BG30" s="12">
        <v>0</v>
      </c>
      <c r="BH30" s="12">
        <v>0</v>
      </c>
      <c r="BI30" s="12" t="s">
        <v>14</v>
      </c>
      <c r="BJ30" s="12" t="s">
        <v>15</v>
      </c>
      <c r="BK30" s="12" t="s">
        <v>15</v>
      </c>
      <c r="BL30" s="12"/>
      <c r="BM30" s="12" t="s">
        <v>15</v>
      </c>
      <c r="BN30" t="s">
        <v>1055</v>
      </c>
    </row>
    <row r="31" spans="1:65" s="11" customFormat="1">
      <c r="A31" s="122"/>
      <c r="B31" s="24" t="s">
        <v>85</v>
      </c>
      <c r="C31" s="25"/>
      <c r="D31" s="25"/>
      <c r="E31" s="25"/>
      <c r="F31" s="25"/>
      <c r="G31" s="25"/>
      <c r="H31" s="25"/>
      <c r="I31" s="25"/>
      <c r="J31" s="49"/>
      <c r="K31" s="54"/>
      <c r="L31" s="54"/>
      <c r="M31" s="54"/>
      <c r="N31" s="26"/>
      <c r="O31" s="26"/>
      <c r="P31" s="55"/>
      <c r="Q31" s="21"/>
      <c r="R31" s="21"/>
      <c r="S31" s="21"/>
      <c r="T31" s="21"/>
      <c r="U31" s="21"/>
      <c r="V31" s="21"/>
      <c r="W31" s="21"/>
      <c r="X31" s="21"/>
      <c r="Y31" s="21"/>
      <c r="Z31" s="27"/>
      <c r="AA31" s="56"/>
      <c r="AB31" s="21"/>
      <c r="AC31" s="27"/>
      <c r="AD31" s="27"/>
      <c r="AE31" s="21"/>
      <c r="AF31" s="27"/>
      <c r="AG31" s="21"/>
      <c r="AH31" s="21"/>
      <c r="AI31" s="27"/>
      <c r="AJ31" s="27"/>
      <c r="AK31" s="27"/>
      <c r="AL31" s="27"/>
      <c r="AM31" s="21"/>
      <c r="AN31" s="21"/>
      <c r="AO31" s="21"/>
      <c r="AP31" s="21"/>
      <c r="AQ31" s="28"/>
      <c r="AR31" s="28"/>
      <c r="AS31" s="21"/>
      <c r="AT31" s="21"/>
      <c r="AU31" s="21"/>
      <c r="AV31" s="21"/>
      <c r="AW31" s="21"/>
      <c r="AX31" s="21"/>
      <c r="AY31" s="21"/>
      <c r="AZ31" s="21"/>
      <c r="BA31" s="21"/>
      <c r="BB31" s="21"/>
      <c r="BC31" s="21"/>
      <c r="BD31" s="21"/>
      <c r="BE31" s="21"/>
      <c r="BF31" s="21"/>
      <c r="BG31" s="21"/>
      <c r="BH31" s="21"/>
      <c r="BI31" s="21"/>
      <c r="BJ31" s="21"/>
      <c r="BK31" s="21"/>
      <c r="BL31" s="21"/>
      <c r="BM31" s="21"/>
      <c r="BN31" t="s">
        <v>1205</v>
      </c>
    </row>
    <row r="32" spans="1:65" s="11" customFormat="1">
      <c r="A32" s="22">
        <v>23</v>
      </c>
      <c r="B32" s="29" t="s">
        <v>80</v>
      </c>
      <c r="C32" s="15" t="s">
        <v>115</v>
      </c>
      <c r="D32" s="15" t="s">
        <v>16</v>
      </c>
      <c r="E32" s="15" t="s">
        <v>6</v>
      </c>
      <c r="F32" s="14" t="s">
        <v>11</v>
      </c>
      <c r="G32" s="14"/>
      <c r="H32" s="14" t="s">
        <v>14</v>
      </c>
      <c r="I32" s="14" t="s">
        <v>14</v>
      </c>
      <c r="J32" s="14" t="s">
        <v>77</v>
      </c>
      <c r="K32" s="14" t="s">
        <v>74</v>
      </c>
      <c r="L32" s="15" t="s">
        <v>13</v>
      </c>
      <c r="M32" s="14" t="s">
        <v>75</v>
      </c>
      <c r="N32" s="14">
        <v>0</v>
      </c>
      <c r="O32" s="19">
        <v>2</v>
      </c>
      <c r="P32" s="12">
        <v>90.98</v>
      </c>
      <c r="Q32" s="12">
        <v>0</v>
      </c>
      <c r="R32" s="12">
        <v>0</v>
      </c>
      <c r="S32" s="12">
        <f>ROUND(O32*P32,2)</f>
        <v>181.96</v>
      </c>
      <c r="T32" s="12" t="s">
        <v>10</v>
      </c>
      <c r="U32" s="4">
        <v>0</v>
      </c>
      <c r="V32" s="4">
        <v>0</v>
      </c>
      <c r="W32" s="12">
        <v>0.45</v>
      </c>
      <c r="X32" s="12">
        <v>0</v>
      </c>
      <c r="Y32" s="12">
        <f>ROUND(S32+(O32*W32),2)</f>
        <v>182.86</v>
      </c>
      <c r="Z32" s="12" t="s">
        <v>10</v>
      </c>
      <c r="AA32" s="4">
        <v>0</v>
      </c>
      <c r="AB32" s="4">
        <f t="shared" ref="AB32:AB34" si="13">U32</f>
        <v>0</v>
      </c>
      <c r="AC32" s="12">
        <v>7.85</v>
      </c>
      <c r="AD32" s="4">
        <v>0</v>
      </c>
      <c r="AE32" s="16">
        <f>ROUND((Y32+AP32+BB32)*AC32/100,2)</f>
        <v>22.93</v>
      </c>
      <c r="AF32" s="12">
        <v>54.62</v>
      </c>
      <c r="AG32" s="16">
        <f>ROUND(Y32+AP32+AE32+BC32,2)</f>
        <v>315.02999999999997</v>
      </c>
      <c r="AH32" s="12">
        <v>2</v>
      </c>
      <c r="AI32" s="12">
        <v>4</v>
      </c>
      <c r="AJ32" s="17" t="s">
        <v>12</v>
      </c>
      <c r="AK32" s="18">
        <v>0</v>
      </c>
      <c r="AL32" s="12">
        <v>2</v>
      </c>
      <c r="AM32" s="12" t="s">
        <v>76</v>
      </c>
      <c r="AN32" s="12" t="s">
        <v>76</v>
      </c>
      <c r="AO32" s="12">
        <v>0</v>
      </c>
      <c r="AP32" s="12">
        <f>ROUND(AF32*O32,2)</f>
        <v>109.24</v>
      </c>
      <c r="AQ32" s="12">
        <f>ROUND(O32*W32,2)</f>
        <v>0.9</v>
      </c>
      <c r="AR32" s="12">
        <v>0</v>
      </c>
      <c r="AS32" s="12">
        <v>0</v>
      </c>
      <c r="AT32" s="12">
        <v>0</v>
      </c>
      <c r="AU32" s="12">
        <v>0</v>
      </c>
      <c r="AV32" s="12">
        <v>0</v>
      </c>
      <c r="AW32" s="12">
        <v>0</v>
      </c>
      <c r="AX32" s="12"/>
      <c r="AY32" s="12"/>
      <c r="AZ32" s="12"/>
      <c r="BA32" s="12"/>
      <c r="BB32" s="12">
        <v>0</v>
      </c>
      <c r="BC32" s="12">
        <v>0</v>
      </c>
      <c r="BD32" s="12" t="s">
        <v>10</v>
      </c>
      <c r="BE32" s="12" t="s">
        <v>10</v>
      </c>
      <c r="BF32" s="12">
        <v>0</v>
      </c>
      <c r="BG32" s="12">
        <v>0</v>
      </c>
      <c r="BH32" s="12">
        <v>0</v>
      </c>
      <c r="BI32" s="12" t="s">
        <v>15</v>
      </c>
      <c r="BJ32" s="12" t="s">
        <v>15</v>
      </c>
      <c r="BK32" s="12" t="s">
        <v>15</v>
      </c>
      <c r="BL32" s="12"/>
      <c r="BM32" s="12" t="s">
        <v>15</v>
      </c>
      <c r="BN32" t="s">
        <v>1055</v>
      </c>
    </row>
    <row r="33" spans="1:65" s="11" customFormat="1">
      <c r="A33" s="22">
        <v>24</v>
      </c>
      <c r="B33" s="32" t="s">
        <v>91</v>
      </c>
      <c r="C33" s="15" t="s">
        <v>115</v>
      </c>
      <c r="D33" s="12" t="s">
        <v>16</v>
      </c>
      <c r="E33" s="15" t="s">
        <v>6</v>
      </c>
      <c r="F33" s="14" t="s">
        <v>11</v>
      </c>
      <c r="G33" s="14"/>
      <c r="H33" s="14" t="s">
        <v>15</v>
      </c>
      <c r="I33" s="14" t="s">
        <v>15</v>
      </c>
      <c r="J33" s="14" t="s">
        <v>92</v>
      </c>
      <c r="K33" s="14" t="s">
        <v>74</v>
      </c>
      <c r="L33" s="15" t="s">
        <v>13</v>
      </c>
      <c r="M33" s="14" t="s">
        <v>75</v>
      </c>
      <c r="N33" s="14">
        <v>0</v>
      </c>
      <c r="O33" s="19">
        <v>3</v>
      </c>
      <c r="P33" s="12">
        <v>17.742000000000001</v>
      </c>
      <c r="Q33" s="12">
        <v>0</v>
      </c>
      <c r="R33" s="12">
        <v>0</v>
      </c>
      <c r="S33" s="12">
        <f>ROUND(O33*P33,3)</f>
        <v>53.225999999999999</v>
      </c>
      <c r="T33" s="12" t="s">
        <v>10</v>
      </c>
      <c r="U33" s="12">
        <v>0</v>
      </c>
      <c r="V33" s="12">
        <v>0</v>
      </c>
      <c r="W33" s="12">
        <v>1.2310000000000001</v>
      </c>
      <c r="X33" s="12">
        <v>0</v>
      </c>
      <c r="Y33" s="12">
        <f>ROUND(S33+(O33*W33),3)</f>
        <v>56.918999999999997</v>
      </c>
      <c r="Z33" s="12" t="s">
        <v>10</v>
      </c>
      <c r="AA33" s="12">
        <v>0</v>
      </c>
      <c r="AB33" s="12">
        <f t="shared" si="13"/>
        <v>0</v>
      </c>
      <c r="AC33" s="18">
        <v>8.1199999999999992</v>
      </c>
      <c r="AD33" s="12">
        <v>0</v>
      </c>
      <c r="AE33" s="18">
        <f>ROUND((Y33+AP33+BB33)*AC33/100,3)</f>
        <v>6.952</v>
      </c>
      <c r="AF33" s="12">
        <v>9.5670000000000002</v>
      </c>
      <c r="AG33" s="18">
        <f>ROUND(Y33+AP33+AE33+BC33,3)</f>
        <v>92.572000000000003</v>
      </c>
      <c r="AH33" s="12">
        <v>3</v>
      </c>
      <c r="AI33" s="12">
        <v>2</v>
      </c>
      <c r="AJ33" s="17" t="s">
        <v>12</v>
      </c>
      <c r="AK33" s="18">
        <v>0</v>
      </c>
      <c r="AL33" s="12">
        <v>3</v>
      </c>
      <c r="AM33" s="12" t="s">
        <v>76</v>
      </c>
      <c r="AN33" s="12" t="s">
        <v>76</v>
      </c>
      <c r="AO33" s="12">
        <v>0</v>
      </c>
      <c r="AP33" s="12">
        <f>ROUND(AF33*O33,3)</f>
        <v>28.701000000000001</v>
      </c>
      <c r="AQ33" s="12">
        <f>ROUND(O33*W33,3)</f>
        <v>3.6930000000000001</v>
      </c>
      <c r="AR33" s="12">
        <v>0</v>
      </c>
      <c r="AS33" s="12">
        <v>0</v>
      </c>
      <c r="AT33" s="12">
        <v>0</v>
      </c>
      <c r="AU33" s="12">
        <v>0</v>
      </c>
      <c r="AV33" s="12">
        <v>0</v>
      </c>
      <c r="AW33" s="12">
        <v>0</v>
      </c>
      <c r="AX33" s="12"/>
      <c r="AY33" s="12"/>
      <c r="AZ33" s="12"/>
      <c r="BA33" s="12"/>
      <c r="BB33" s="12">
        <v>0</v>
      </c>
      <c r="BC33" s="12">
        <v>0</v>
      </c>
      <c r="BD33" s="12" t="s">
        <v>10</v>
      </c>
      <c r="BE33" s="12" t="s">
        <v>10</v>
      </c>
      <c r="BF33" s="12">
        <v>0</v>
      </c>
      <c r="BG33" s="12">
        <v>0</v>
      </c>
      <c r="BH33" s="12">
        <v>0</v>
      </c>
      <c r="BI33" s="12" t="s">
        <v>15</v>
      </c>
      <c r="BJ33" s="12" t="s">
        <v>15</v>
      </c>
      <c r="BK33" s="12" t="s">
        <v>15</v>
      </c>
      <c r="BL33" s="12"/>
      <c r="BM33" s="12" t="s">
        <v>15</v>
      </c>
      <c r="BN33" t="s">
        <v>1055</v>
      </c>
    </row>
    <row r="34" spans="1:65" s="11" customFormat="1">
      <c r="A34" s="22">
        <v>25</v>
      </c>
      <c r="B34" s="34" t="s">
        <v>93</v>
      </c>
      <c r="C34" s="15" t="s">
        <v>115</v>
      </c>
      <c r="D34" s="12" t="s">
        <v>16</v>
      </c>
      <c r="E34" s="15" t="s">
        <v>6</v>
      </c>
      <c r="F34" s="14" t="s">
        <v>11</v>
      </c>
      <c r="G34" s="14"/>
      <c r="H34" s="14" t="s">
        <v>14</v>
      </c>
      <c r="I34" s="14" t="s">
        <v>94</v>
      </c>
      <c r="J34" s="14" t="s">
        <v>99</v>
      </c>
      <c r="K34" s="14" t="s">
        <v>74</v>
      </c>
      <c r="L34" s="15" t="s">
        <v>13</v>
      </c>
      <c r="M34" s="14" t="s">
        <v>75</v>
      </c>
      <c r="N34" s="14">
        <v>0</v>
      </c>
      <c r="O34" s="19">
        <v>2</v>
      </c>
      <c r="P34" s="12">
        <v>32.642099999999999</v>
      </c>
      <c r="Q34" s="12">
        <v>0</v>
      </c>
      <c r="R34" s="12">
        <v>0</v>
      </c>
      <c r="S34" s="12">
        <f>ROUND(O34*P34,4)</f>
        <v>65.284199999999998</v>
      </c>
      <c r="T34" s="12" t="s">
        <v>10</v>
      </c>
      <c r="U34" s="12">
        <v>0</v>
      </c>
      <c r="V34" s="12">
        <v>0</v>
      </c>
      <c r="W34" s="12">
        <v>2.2355999999999998</v>
      </c>
      <c r="X34" s="12">
        <v>0</v>
      </c>
      <c r="Y34" s="12">
        <f>ROUND(S34+(O34*W34),4)</f>
        <v>69.755399999999995</v>
      </c>
      <c r="Z34" s="12" t="s">
        <v>10</v>
      </c>
      <c r="AA34" s="12">
        <v>0</v>
      </c>
      <c r="AB34" s="12">
        <f t="shared" si="13"/>
        <v>0</v>
      </c>
      <c r="AC34" s="35">
        <v>9.65</v>
      </c>
      <c r="AD34" s="12">
        <v>0</v>
      </c>
      <c r="AE34" s="35">
        <f>ROUND((Y34+AP34+BB34)*AC34/100,4)</f>
        <v>9.1308000000000007</v>
      </c>
      <c r="AF34" s="12">
        <v>12.4321</v>
      </c>
      <c r="AG34" s="35">
        <f>ROUND(Y34+AP34+AE34+BC34,4)</f>
        <v>103.7504</v>
      </c>
      <c r="AH34" s="12">
        <v>4</v>
      </c>
      <c r="AI34" s="12">
        <v>3</v>
      </c>
      <c r="AJ34" s="17" t="s">
        <v>12</v>
      </c>
      <c r="AK34" s="18">
        <v>0</v>
      </c>
      <c r="AL34" s="12">
        <v>4</v>
      </c>
      <c r="AM34" s="12" t="s">
        <v>76</v>
      </c>
      <c r="AN34" s="12" t="s">
        <v>76</v>
      </c>
      <c r="AO34" s="12">
        <v>0</v>
      </c>
      <c r="AP34" s="12">
        <f>ROUND(AF34*O34,4)</f>
        <v>24.8642</v>
      </c>
      <c r="AQ34" s="12">
        <f>ROUND(O34*W34,4)</f>
        <v>4.4711999999999996</v>
      </c>
      <c r="AR34" s="12">
        <v>0</v>
      </c>
      <c r="AS34" s="12">
        <v>0</v>
      </c>
      <c r="AT34" s="12">
        <v>0</v>
      </c>
      <c r="AU34" s="12">
        <v>0</v>
      </c>
      <c r="AV34" s="12">
        <v>0</v>
      </c>
      <c r="AW34" s="12">
        <v>0</v>
      </c>
      <c r="AX34" s="12"/>
      <c r="AY34" s="12"/>
      <c r="AZ34" s="12"/>
      <c r="BA34" s="12"/>
      <c r="BB34" s="12">
        <v>0</v>
      </c>
      <c r="BC34" s="12">
        <v>0</v>
      </c>
      <c r="BD34" s="12" t="s">
        <v>10</v>
      </c>
      <c r="BE34" s="12" t="s">
        <v>10</v>
      </c>
      <c r="BF34" s="12">
        <v>0</v>
      </c>
      <c r="BG34" s="12">
        <v>0</v>
      </c>
      <c r="BH34" s="12">
        <v>0</v>
      </c>
      <c r="BI34" s="12" t="s">
        <v>15</v>
      </c>
      <c r="BJ34" s="12" t="s">
        <v>15</v>
      </c>
      <c r="BK34" s="12" t="s">
        <v>15</v>
      </c>
      <c r="BL34" s="12"/>
      <c r="BM34" s="12" t="s">
        <v>15</v>
      </c>
      <c r="BN34" t="s">
        <v>1055</v>
      </c>
    </row>
    <row r="35" spans="1:65" s="11" customFormat="1">
      <c r="A35" s="122"/>
      <c r="B35" s="24" t="s">
        <v>82</v>
      </c>
      <c r="C35" s="25"/>
      <c r="D35" s="25"/>
      <c r="E35" s="25"/>
      <c r="F35" s="25"/>
      <c r="G35" s="25"/>
      <c r="H35" s="25"/>
      <c r="I35" s="25"/>
      <c r="J35" s="49"/>
      <c r="K35" s="26"/>
      <c r="L35" s="26"/>
      <c r="M35" s="26"/>
      <c r="N35" s="26"/>
      <c r="O35" s="26"/>
      <c r="P35" s="55"/>
      <c r="Q35" s="21"/>
      <c r="R35" s="21"/>
      <c r="S35" s="21"/>
      <c r="T35" s="21"/>
      <c r="U35" s="21"/>
      <c r="V35" s="21"/>
      <c r="W35" s="56"/>
      <c r="X35" s="56"/>
      <c r="Y35" s="21"/>
      <c r="Z35" s="21"/>
      <c r="AA35" s="27"/>
      <c r="AB35" s="21"/>
      <c r="AC35" s="21"/>
      <c r="AD35" s="21"/>
      <c r="AE35" s="21"/>
      <c r="AF35" s="56"/>
      <c r="AG35" s="21"/>
      <c r="AH35" s="21"/>
      <c r="AI35" s="21"/>
      <c r="AJ35" s="21"/>
      <c r="AK35" s="21"/>
      <c r="AL35" s="56"/>
      <c r="AM35" s="21"/>
      <c r="AN35" s="21"/>
      <c r="AO35" s="21"/>
      <c r="AP35" s="27"/>
      <c r="AQ35" s="28"/>
      <c r="AR35" s="28"/>
      <c r="AS35" s="21"/>
      <c r="AT35" s="21"/>
      <c r="AU35" s="21"/>
      <c r="AV35" s="21"/>
      <c r="AW35" s="21"/>
      <c r="AX35" s="21"/>
      <c r="AY35" s="21"/>
      <c r="AZ35" s="21"/>
      <c r="BA35" s="21"/>
      <c r="BB35" s="21"/>
      <c r="BC35" s="21"/>
      <c r="BD35" s="21"/>
      <c r="BE35" s="21"/>
      <c r="BF35" s="21"/>
      <c r="BG35" s="21"/>
      <c r="BH35" s="21"/>
      <c r="BI35" s="21"/>
      <c r="BJ35" s="21"/>
      <c r="BK35" s="21"/>
      <c r="BL35" s="21"/>
      <c r="BM35" s="21"/>
      <c r="BN35" t="s">
        <v>1205</v>
      </c>
    </row>
    <row r="36" spans="1:65" s="11" customFormat="1">
      <c r="A36" s="22">
        <v>26</v>
      </c>
      <c r="B36" s="29" t="s">
        <v>80</v>
      </c>
      <c r="C36" s="15" t="s">
        <v>115</v>
      </c>
      <c r="D36" s="15" t="s">
        <v>16</v>
      </c>
      <c r="E36" s="15" t="s">
        <v>6</v>
      </c>
      <c r="F36" s="14" t="s">
        <v>11</v>
      </c>
      <c r="G36" s="14"/>
      <c r="H36" s="14" t="s">
        <v>14</v>
      </c>
      <c r="I36" s="14" t="s">
        <v>14</v>
      </c>
      <c r="J36" s="14" t="s">
        <v>77</v>
      </c>
      <c r="K36" s="14" t="s">
        <v>74</v>
      </c>
      <c r="L36" s="15" t="s">
        <v>13</v>
      </c>
      <c r="M36" s="14" t="s">
        <v>105</v>
      </c>
      <c r="N36" s="14">
        <v>0</v>
      </c>
      <c r="O36" s="19">
        <v>1</v>
      </c>
      <c r="P36" s="12">
        <v>0.98</v>
      </c>
      <c r="Q36" s="12">
        <v>0</v>
      </c>
      <c r="R36" s="12">
        <v>0</v>
      </c>
      <c r="S36" s="12">
        <f>ROUND(O36*P36,2)</f>
        <v>0.98</v>
      </c>
      <c r="T36" s="12" t="s">
        <v>10</v>
      </c>
      <c r="U36" s="4">
        <v>110</v>
      </c>
      <c r="V36" s="4">
        <v>0</v>
      </c>
      <c r="W36" s="12">
        <v>0.45</v>
      </c>
      <c r="X36" s="12">
        <v>0</v>
      </c>
      <c r="Y36" s="12">
        <f>ROUND(S36+(O36*W36),2)</f>
        <v>1.43</v>
      </c>
      <c r="Z36" s="12" t="s">
        <v>10</v>
      </c>
      <c r="AA36" s="4">
        <v>1.43</v>
      </c>
      <c r="AB36" s="4">
        <f>U36</f>
        <v>110</v>
      </c>
      <c r="AC36" s="12">
        <v>0</v>
      </c>
      <c r="AD36" s="4">
        <f>ROUND(Y36-AA36,3)</f>
        <v>0</v>
      </c>
      <c r="AE36" s="16">
        <f>ROUND((Y36+AP36+BB36)*AC36/100,2)</f>
        <v>0</v>
      </c>
      <c r="AF36" s="4">
        <v>0</v>
      </c>
      <c r="AG36" s="4">
        <f>ROUND(BC36+AP36+AE36,2)</f>
        <v>0</v>
      </c>
      <c r="AH36" s="12">
        <v>2</v>
      </c>
      <c r="AI36" s="12">
        <v>4</v>
      </c>
      <c r="AJ36" s="17" t="s">
        <v>12</v>
      </c>
      <c r="AK36" s="18">
        <v>0</v>
      </c>
      <c r="AL36" s="12">
        <v>2</v>
      </c>
      <c r="AM36" s="12" t="s">
        <v>76</v>
      </c>
      <c r="AN36" s="12" t="s">
        <v>76</v>
      </c>
      <c r="AO36" s="12">
        <v>0</v>
      </c>
      <c r="AP36" s="12">
        <f>ROUND(AF36*O36,2)</f>
        <v>0</v>
      </c>
      <c r="AQ36" s="12">
        <v>0</v>
      </c>
      <c r="AR36" s="12">
        <v>0</v>
      </c>
      <c r="AS36" s="12">
        <v>0</v>
      </c>
      <c r="AT36" s="12">
        <v>0</v>
      </c>
      <c r="AU36" s="12">
        <v>0</v>
      </c>
      <c r="AV36" s="12">
        <v>0</v>
      </c>
      <c r="AW36" s="12">
        <v>0</v>
      </c>
      <c r="AX36" s="12"/>
      <c r="AY36" s="12"/>
      <c r="AZ36" s="12"/>
      <c r="BA36" s="12"/>
      <c r="BB36" s="12">
        <v>0</v>
      </c>
      <c r="BC36" s="12">
        <v>0</v>
      </c>
      <c r="BD36" s="12" t="s">
        <v>10</v>
      </c>
      <c r="BE36" s="12" t="s">
        <v>10</v>
      </c>
      <c r="BF36" s="12">
        <v>0</v>
      </c>
      <c r="BG36" s="12">
        <v>0</v>
      </c>
      <c r="BH36" s="12">
        <v>0</v>
      </c>
      <c r="BI36" s="12" t="s">
        <v>15</v>
      </c>
      <c r="BJ36" s="12" t="s">
        <v>15</v>
      </c>
      <c r="BK36" s="12" t="s">
        <v>15</v>
      </c>
      <c r="BL36" s="12"/>
      <c r="BM36" s="12" t="s">
        <v>15</v>
      </c>
      <c r="BN36" t="s">
        <v>1055</v>
      </c>
    </row>
    <row r="37" spans="1:65" s="11" customFormat="1">
      <c r="A37" s="13">
        <v>27</v>
      </c>
      <c r="B37" s="32" t="s">
        <v>91</v>
      </c>
      <c r="C37" s="15" t="s">
        <v>115</v>
      </c>
      <c r="D37" s="12" t="s">
        <v>16</v>
      </c>
      <c r="E37" s="15" t="s">
        <v>6</v>
      </c>
      <c r="F37" s="14" t="s">
        <v>11</v>
      </c>
      <c r="G37" s="14"/>
      <c r="H37" s="14" t="s">
        <v>14</v>
      </c>
      <c r="I37" s="14" t="s">
        <v>14</v>
      </c>
      <c r="J37" s="14" t="s">
        <v>99</v>
      </c>
      <c r="K37" s="14" t="s">
        <v>74</v>
      </c>
      <c r="L37" s="15" t="s">
        <v>13</v>
      </c>
      <c r="M37" s="14" t="s">
        <v>106</v>
      </c>
      <c r="N37" s="14">
        <v>0</v>
      </c>
      <c r="O37" s="19">
        <v>2</v>
      </c>
      <c r="P37" s="12">
        <v>0</v>
      </c>
      <c r="Q37" s="12">
        <v>4.2149999999999999</v>
      </c>
      <c r="R37" s="12">
        <v>0</v>
      </c>
      <c r="S37" s="12">
        <f>ROUND(Q37,3)</f>
        <v>4.2149999999999999</v>
      </c>
      <c r="T37" s="12" t="s">
        <v>10</v>
      </c>
      <c r="U37" s="12">
        <v>0</v>
      </c>
      <c r="V37" s="12">
        <v>0</v>
      </c>
      <c r="W37" s="12">
        <v>0.56699999999999995</v>
      </c>
      <c r="X37" s="12">
        <v>0</v>
      </c>
      <c r="Y37" s="12">
        <f>ROUND(S37+W37,3)</f>
        <v>4.782</v>
      </c>
      <c r="Z37" s="12" t="s">
        <v>10</v>
      </c>
      <c r="AA37" s="12">
        <v>1.2350000000000001</v>
      </c>
      <c r="AB37" s="33">
        <f>U37</f>
        <v>0</v>
      </c>
      <c r="AC37" s="18">
        <v>0</v>
      </c>
      <c r="AD37" s="12">
        <f>ROUND(Y37-AA37,3)</f>
        <v>3.5470000000000002</v>
      </c>
      <c r="AE37" s="18">
        <f>ROUND((Y37+AP37+BB37)*AC37/100,3)</f>
        <v>0</v>
      </c>
      <c r="AF37" s="33">
        <v>0</v>
      </c>
      <c r="AG37" s="33">
        <f>ROUND(BC37+AP37+AE37,3)</f>
        <v>0</v>
      </c>
      <c r="AH37" s="12">
        <v>3</v>
      </c>
      <c r="AI37" s="12">
        <v>2</v>
      </c>
      <c r="AJ37" s="17" t="s">
        <v>12</v>
      </c>
      <c r="AK37" s="18">
        <v>0</v>
      </c>
      <c r="AL37" s="12">
        <v>3</v>
      </c>
      <c r="AM37" s="12" t="s">
        <v>76</v>
      </c>
      <c r="AN37" s="12" t="s">
        <v>76</v>
      </c>
      <c r="AO37" s="12">
        <v>0</v>
      </c>
      <c r="AP37" s="12">
        <f>ROUND(AF37*O37,3)</f>
        <v>0</v>
      </c>
      <c r="AQ37" s="12">
        <v>0</v>
      </c>
      <c r="AR37" s="12">
        <v>0</v>
      </c>
      <c r="AS37" s="12">
        <v>0</v>
      </c>
      <c r="AT37" s="12">
        <v>0</v>
      </c>
      <c r="AU37" s="12">
        <v>0</v>
      </c>
      <c r="AV37" s="12">
        <v>0</v>
      </c>
      <c r="AW37" s="12">
        <v>0</v>
      </c>
      <c r="AX37" s="12"/>
      <c r="AY37" s="12"/>
      <c r="AZ37" s="12"/>
      <c r="BA37" s="12"/>
      <c r="BB37" s="12">
        <v>0</v>
      </c>
      <c r="BC37" s="12">
        <v>0</v>
      </c>
      <c r="BD37" s="12" t="s">
        <v>10</v>
      </c>
      <c r="BE37" s="12" t="s">
        <v>10</v>
      </c>
      <c r="BF37" s="12">
        <v>0</v>
      </c>
      <c r="BG37" s="12">
        <v>0</v>
      </c>
      <c r="BH37" s="12">
        <v>0</v>
      </c>
      <c r="BI37" s="12" t="s">
        <v>15</v>
      </c>
      <c r="BJ37" s="12" t="s">
        <v>15</v>
      </c>
      <c r="BK37" s="12" t="s">
        <v>15</v>
      </c>
      <c r="BL37" s="12"/>
      <c r="BM37" s="12" t="s">
        <v>15</v>
      </c>
      <c r="BN37" t="s">
        <v>1055</v>
      </c>
    </row>
    <row r="38" spans="1:65" s="11" customFormat="1">
      <c r="A38" s="13">
        <v>28</v>
      </c>
      <c r="B38" s="34" t="s">
        <v>93</v>
      </c>
      <c r="C38" s="15" t="s">
        <v>115</v>
      </c>
      <c r="D38" s="12" t="s">
        <v>16</v>
      </c>
      <c r="E38" s="15" t="s">
        <v>6</v>
      </c>
      <c r="F38" s="14" t="s">
        <v>11</v>
      </c>
      <c r="G38" s="14"/>
      <c r="H38" s="14" t="s">
        <v>14</v>
      </c>
      <c r="I38" s="14" t="s">
        <v>94</v>
      </c>
      <c r="J38" s="14" t="s">
        <v>99</v>
      </c>
      <c r="K38" s="14" t="s">
        <v>74</v>
      </c>
      <c r="L38" s="15" t="s">
        <v>13</v>
      </c>
      <c r="M38" s="14" t="s">
        <v>107</v>
      </c>
      <c r="N38" s="14">
        <v>0</v>
      </c>
      <c r="O38" s="19">
        <v>3</v>
      </c>
      <c r="P38" s="12">
        <v>0.6421</v>
      </c>
      <c r="Q38" s="12">
        <v>0</v>
      </c>
      <c r="R38" s="12">
        <v>0</v>
      </c>
      <c r="S38" s="12">
        <f>ROUND(O38*P38,4)</f>
        <v>1.9262999999999999</v>
      </c>
      <c r="T38" s="12" t="s">
        <v>10</v>
      </c>
      <c r="U38" s="12">
        <v>0</v>
      </c>
      <c r="V38" s="12">
        <v>0</v>
      </c>
      <c r="W38" s="12">
        <v>2.2355999999999998</v>
      </c>
      <c r="X38" s="12">
        <v>0</v>
      </c>
      <c r="Y38" s="12">
        <f>ROUND(S38+(O38*W38),4)</f>
        <v>8.6331000000000007</v>
      </c>
      <c r="Z38" s="12" t="s">
        <v>10</v>
      </c>
      <c r="AA38" s="52">
        <v>17.234999999999999</v>
      </c>
      <c r="AB38" s="52">
        <f>U38</f>
        <v>0</v>
      </c>
      <c r="AC38" s="52">
        <v>0</v>
      </c>
      <c r="AD38" s="52">
        <v>0</v>
      </c>
      <c r="AE38" s="35">
        <f>ROUND((Y38+AP38+BB38)*AC38/100,4)</f>
        <v>0</v>
      </c>
      <c r="AF38" s="52">
        <v>0</v>
      </c>
      <c r="AG38" s="52">
        <f>ROUND(BC38+AP38+AE38,3)</f>
        <v>0</v>
      </c>
      <c r="AH38" s="12">
        <v>4</v>
      </c>
      <c r="AI38" s="12">
        <v>3</v>
      </c>
      <c r="AJ38" s="17" t="s">
        <v>12</v>
      </c>
      <c r="AK38" s="18">
        <v>0</v>
      </c>
      <c r="AL38" s="12">
        <v>4</v>
      </c>
      <c r="AM38" s="12" t="s">
        <v>76</v>
      </c>
      <c r="AN38" s="12" t="s">
        <v>76</v>
      </c>
      <c r="AO38" s="12">
        <v>0</v>
      </c>
      <c r="AP38" s="12">
        <f>ROUND(AF38*O38,4)</f>
        <v>0</v>
      </c>
      <c r="AQ38" s="12">
        <v>0</v>
      </c>
      <c r="AR38" s="12">
        <v>0</v>
      </c>
      <c r="AS38" s="12">
        <v>0</v>
      </c>
      <c r="AT38" s="12">
        <v>0</v>
      </c>
      <c r="AU38" s="12">
        <v>0</v>
      </c>
      <c r="AV38" s="12">
        <v>0</v>
      </c>
      <c r="AW38" s="12">
        <v>0</v>
      </c>
      <c r="AX38" s="12"/>
      <c r="AY38" s="12"/>
      <c r="AZ38" s="12"/>
      <c r="BA38" s="12"/>
      <c r="BB38" s="12">
        <v>0</v>
      </c>
      <c r="BC38" s="12">
        <v>0</v>
      </c>
      <c r="BD38" s="12" t="s">
        <v>10</v>
      </c>
      <c r="BE38" s="12" t="s">
        <v>10</v>
      </c>
      <c r="BF38" s="12">
        <v>0</v>
      </c>
      <c r="BG38" s="12">
        <v>0</v>
      </c>
      <c r="BH38" s="12">
        <v>0</v>
      </c>
      <c r="BI38" s="12" t="s">
        <v>15</v>
      </c>
      <c r="BJ38" s="12" t="s">
        <v>15</v>
      </c>
      <c r="BK38" s="12" t="s">
        <v>15</v>
      </c>
      <c r="BL38" s="12"/>
      <c r="BM38" s="12" t="s">
        <v>15</v>
      </c>
      <c r="BN38" t="s">
        <v>1055</v>
      </c>
    </row>
    <row r="39" spans="1:65" s="11" customFormat="1">
      <c r="A39" s="13"/>
      <c r="B39" s="23" t="s">
        <v>86</v>
      </c>
      <c r="C39" s="24"/>
      <c r="D39" s="25"/>
      <c r="E39" s="25"/>
      <c r="F39" s="25"/>
      <c r="G39" s="25"/>
      <c r="H39" s="25"/>
      <c r="I39" s="25"/>
      <c r="J39" s="25"/>
      <c r="K39" s="26"/>
      <c r="L39" s="26"/>
      <c r="M39" s="26"/>
      <c r="N39" s="26"/>
      <c r="O39" s="26"/>
      <c r="P39" s="22"/>
      <c r="Q39" s="21"/>
      <c r="R39" s="21"/>
      <c r="S39" s="27"/>
      <c r="T39" s="27"/>
      <c r="U39" s="27"/>
      <c r="V39" s="21"/>
      <c r="W39" s="21"/>
      <c r="X39" s="21"/>
      <c r="Y39" s="27"/>
      <c r="Z39" s="27"/>
      <c r="AA39" s="21"/>
      <c r="AB39" s="21"/>
      <c r="AC39" s="27"/>
      <c r="AD39" s="27"/>
      <c r="AE39" s="21"/>
      <c r="AF39" s="27"/>
      <c r="AG39" s="27"/>
      <c r="AH39" s="21"/>
      <c r="AI39" s="27"/>
      <c r="AJ39" s="21"/>
      <c r="AK39" s="27"/>
      <c r="AL39" s="27"/>
      <c r="AM39" s="21"/>
      <c r="AN39" s="21"/>
      <c r="AO39" s="22"/>
      <c r="AP39" s="27"/>
      <c r="AQ39" s="28"/>
      <c r="AR39" s="28"/>
      <c r="AS39" s="21"/>
      <c r="AT39" s="21"/>
      <c r="AU39" s="21"/>
      <c r="AV39" s="21"/>
      <c r="AW39" s="27"/>
      <c r="AX39" s="21"/>
      <c r="AY39" s="21"/>
      <c r="AZ39" s="21"/>
      <c r="BA39" s="21"/>
      <c r="BB39" s="21"/>
      <c r="BC39" s="21"/>
      <c r="BD39" s="21"/>
      <c r="BE39" s="21"/>
      <c r="BF39" s="21"/>
      <c r="BG39" s="21"/>
      <c r="BH39" s="21"/>
      <c r="BI39" s="21"/>
      <c r="BJ39" s="21"/>
      <c r="BK39" s="21"/>
      <c r="BL39" s="21"/>
      <c r="BM39" s="21"/>
      <c r="BN39" t="s">
        <v>1205</v>
      </c>
    </row>
    <row r="40" spans="1:65" s="11" customFormat="1">
      <c r="A40" s="22">
        <v>29</v>
      </c>
      <c r="B40" s="29" t="s">
        <v>80</v>
      </c>
      <c r="C40" s="12" t="s">
        <v>115</v>
      </c>
      <c r="D40" s="12" t="s">
        <v>16</v>
      </c>
      <c r="E40" s="15" t="s">
        <v>6</v>
      </c>
      <c r="F40" s="14" t="s">
        <v>108</v>
      </c>
      <c r="G40" s="14" t="s">
        <v>109</v>
      </c>
      <c r="H40" s="14" t="s">
        <v>14</v>
      </c>
      <c r="I40" s="14" t="s">
        <v>14</v>
      </c>
      <c r="J40" s="14" t="s">
        <v>77</v>
      </c>
      <c r="K40" s="14" t="s">
        <v>74</v>
      </c>
      <c r="L40" s="15" t="s">
        <v>13</v>
      </c>
      <c r="M40" s="14" t="s">
        <v>75</v>
      </c>
      <c r="N40" s="14">
        <v>0</v>
      </c>
      <c r="O40" s="19">
        <v>2</v>
      </c>
      <c r="P40" s="12">
        <v>78.98</v>
      </c>
      <c r="Q40" s="12">
        <v>0</v>
      </c>
      <c r="R40" s="12">
        <v>0</v>
      </c>
      <c r="S40" s="12">
        <f>ROUND(O40*P40,2)</f>
        <v>157.96</v>
      </c>
      <c r="T40" s="12" t="s">
        <v>10</v>
      </c>
      <c r="U40" s="12">
        <v>0</v>
      </c>
      <c r="V40" s="12">
        <v>0</v>
      </c>
      <c r="W40" s="12">
        <v>0.45</v>
      </c>
      <c r="X40" s="12">
        <v>0</v>
      </c>
      <c r="Y40" s="12">
        <f>ROUND(S40+(O40*W40),2)</f>
        <v>158.86000000000001</v>
      </c>
      <c r="Z40" s="12" t="s">
        <v>10</v>
      </c>
      <c r="AA40" s="12">
        <v>0</v>
      </c>
      <c r="AB40" s="12">
        <f t="shared" ref="AB40:AB43" si="14">U40</f>
        <v>0</v>
      </c>
      <c r="AC40" s="12">
        <v>7.85</v>
      </c>
      <c r="AD40" s="12">
        <v>0</v>
      </c>
      <c r="AE40" s="16">
        <f>ROUND((Y40+AP40+BB40)*AC40/100,2)</f>
        <v>22.01</v>
      </c>
      <c r="AF40" s="12">
        <v>54.62</v>
      </c>
      <c r="AG40" s="16">
        <f>ROUND(Y40+AP40+AE40+BC40,2)</f>
        <v>302.45</v>
      </c>
      <c r="AH40" s="12">
        <v>2</v>
      </c>
      <c r="AI40" s="12">
        <v>4</v>
      </c>
      <c r="AJ40" s="17" t="s">
        <v>12</v>
      </c>
      <c r="AK40" s="18">
        <v>0</v>
      </c>
      <c r="AL40" s="12">
        <v>2</v>
      </c>
      <c r="AM40" s="12" t="s">
        <v>76</v>
      </c>
      <c r="AN40" s="12" t="s">
        <v>76</v>
      </c>
      <c r="AO40" s="12">
        <v>0</v>
      </c>
      <c r="AP40" s="12">
        <f>ROUND(AF40*O40,2)</f>
        <v>109.24</v>
      </c>
      <c r="AQ40" s="12">
        <f>ROUND(O40*W40,2)</f>
        <v>0.9</v>
      </c>
      <c r="AR40" s="12">
        <v>0</v>
      </c>
      <c r="AS40" s="12">
        <v>0</v>
      </c>
      <c r="AT40" s="12">
        <v>0</v>
      </c>
      <c r="AU40" s="12">
        <v>0</v>
      </c>
      <c r="AV40" s="12">
        <v>0</v>
      </c>
      <c r="AW40" s="12">
        <v>0</v>
      </c>
      <c r="AX40" s="12"/>
      <c r="AY40" s="12"/>
      <c r="AZ40" s="12"/>
      <c r="BA40" s="12"/>
      <c r="BB40" s="12">
        <v>12.34</v>
      </c>
      <c r="BC40" s="16">
        <f>ROUND((AD40+BB40),2)</f>
        <v>12.34</v>
      </c>
      <c r="BD40" s="12" t="s">
        <v>10</v>
      </c>
      <c r="BE40" s="12" t="s">
        <v>10</v>
      </c>
      <c r="BF40" s="12">
        <v>0</v>
      </c>
      <c r="BG40" s="12">
        <v>0</v>
      </c>
      <c r="BH40" s="12">
        <v>0</v>
      </c>
      <c r="BI40" s="12" t="s">
        <v>15</v>
      </c>
      <c r="BJ40" s="12" t="s">
        <v>15</v>
      </c>
      <c r="BK40" s="12" t="s">
        <v>15</v>
      </c>
      <c r="BL40" s="12"/>
      <c r="BM40" s="12" t="s">
        <v>15</v>
      </c>
      <c r="BN40" t="s">
        <v>1055</v>
      </c>
    </row>
    <row r="41" spans="1:65" s="11" customFormat="1">
      <c r="A41" s="13">
        <v>30</v>
      </c>
      <c r="B41" s="32" t="s">
        <v>91</v>
      </c>
      <c r="C41" s="12" t="s">
        <v>115</v>
      </c>
      <c r="D41" s="12" t="s">
        <v>16</v>
      </c>
      <c r="E41" s="15" t="s">
        <v>6</v>
      </c>
      <c r="F41" s="14" t="s">
        <v>108</v>
      </c>
      <c r="G41" s="14" t="s">
        <v>109</v>
      </c>
      <c r="H41" s="14" t="s">
        <v>15</v>
      </c>
      <c r="I41" s="14" t="s">
        <v>15</v>
      </c>
      <c r="J41" s="14" t="s">
        <v>92</v>
      </c>
      <c r="K41" s="14" t="s">
        <v>74</v>
      </c>
      <c r="L41" s="15" t="s">
        <v>13</v>
      </c>
      <c r="M41" s="14" t="s">
        <v>75</v>
      </c>
      <c r="N41" s="14">
        <v>0</v>
      </c>
      <c r="O41" s="19">
        <v>2</v>
      </c>
      <c r="P41" s="12">
        <v>9.7420000000000009</v>
      </c>
      <c r="Q41" s="12">
        <v>0</v>
      </c>
      <c r="R41" s="12">
        <v>0</v>
      </c>
      <c r="S41" s="12">
        <f>ROUND(O41*P41,3)</f>
        <v>19.484000000000002</v>
      </c>
      <c r="T41" s="12" t="s">
        <v>10</v>
      </c>
      <c r="U41" s="12">
        <v>0</v>
      </c>
      <c r="V41" s="12">
        <v>0</v>
      </c>
      <c r="W41" s="12">
        <v>1.2310000000000001</v>
      </c>
      <c r="X41" s="12">
        <v>0</v>
      </c>
      <c r="Y41" s="12">
        <f>ROUND(S41+(O41*W41),3)</f>
        <v>21.946000000000002</v>
      </c>
      <c r="Z41" s="12" t="s">
        <v>10</v>
      </c>
      <c r="AA41" s="12">
        <v>0</v>
      </c>
      <c r="AB41" s="12">
        <f>U41</f>
        <v>0</v>
      </c>
      <c r="AC41" s="18">
        <v>8.1199999999999992</v>
      </c>
      <c r="AD41" s="12">
        <v>0</v>
      </c>
      <c r="AE41" s="18">
        <f>ROUND((Y41+AP41+BB41)*AC41/100,3)</f>
        <v>3.887</v>
      </c>
      <c r="AF41" s="12">
        <v>9.5670000000000002</v>
      </c>
      <c r="AG41" s="18">
        <f>ROUND(Y41+AP41+AE41+BC41,3)</f>
        <v>51.756</v>
      </c>
      <c r="AH41" s="12">
        <v>3</v>
      </c>
      <c r="AI41" s="12">
        <v>2</v>
      </c>
      <c r="AJ41" s="17" t="s">
        <v>12</v>
      </c>
      <c r="AK41" s="18">
        <v>0</v>
      </c>
      <c r="AL41" s="12">
        <v>3</v>
      </c>
      <c r="AM41" s="12" t="s">
        <v>76</v>
      </c>
      <c r="AN41" s="12" t="s">
        <v>76</v>
      </c>
      <c r="AO41" s="12">
        <v>0</v>
      </c>
      <c r="AP41" s="12">
        <f>ROUND(AF41*O41,3)</f>
        <v>19.134</v>
      </c>
      <c r="AQ41" s="12">
        <f>ROUND(O41*W41,3)</f>
        <v>2.4620000000000002</v>
      </c>
      <c r="AR41" s="12">
        <v>0</v>
      </c>
      <c r="AS41" s="12">
        <v>0</v>
      </c>
      <c r="AT41" s="12">
        <v>0</v>
      </c>
      <c r="AU41" s="12">
        <v>0</v>
      </c>
      <c r="AV41" s="12">
        <v>0</v>
      </c>
      <c r="AW41" s="12">
        <v>0</v>
      </c>
      <c r="AX41" s="12"/>
      <c r="AY41" s="12"/>
      <c r="AZ41" s="12"/>
      <c r="BA41" s="12"/>
      <c r="BB41" s="33">
        <v>6.7889999999999997</v>
      </c>
      <c r="BC41" s="18">
        <f>ROUND((AD41+BB41),3)</f>
        <v>6.7889999999999997</v>
      </c>
      <c r="BD41" s="12" t="s">
        <v>10</v>
      </c>
      <c r="BE41" s="12" t="s">
        <v>10</v>
      </c>
      <c r="BF41" s="12">
        <v>0</v>
      </c>
      <c r="BG41" s="12">
        <v>0</v>
      </c>
      <c r="BH41" s="12">
        <v>0</v>
      </c>
      <c r="BI41" s="12" t="s">
        <v>15</v>
      </c>
      <c r="BJ41" s="12" t="s">
        <v>15</v>
      </c>
      <c r="BK41" s="12" t="s">
        <v>15</v>
      </c>
      <c r="BL41" s="12"/>
      <c r="BM41" s="12" t="s">
        <v>15</v>
      </c>
      <c r="BN41" t="s">
        <v>1055</v>
      </c>
    </row>
    <row r="42" spans="1:65" s="11" customFormat="1">
      <c r="A42" s="13">
        <v>31</v>
      </c>
      <c r="B42" s="34" t="s">
        <v>93</v>
      </c>
      <c r="C42" s="12" t="s">
        <v>115</v>
      </c>
      <c r="D42" s="12" t="s">
        <v>16</v>
      </c>
      <c r="E42" s="15" t="s">
        <v>6</v>
      </c>
      <c r="F42" s="14" t="s">
        <v>108</v>
      </c>
      <c r="G42" s="14" t="s">
        <v>109</v>
      </c>
      <c r="H42" s="14" t="s">
        <v>14</v>
      </c>
      <c r="I42" s="14" t="s">
        <v>94</v>
      </c>
      <c r="J42" s="14" t="s">
        <v>99</v>
      </c>
      <c r="K42" s="14" t="s">
        <v>74</v>
      </c>
      <c r="L42" s="15" t="s">
        <v>13</v>
      </c>
      <c r="M42" s="14" t="s">
        <v>75</v>
      </c>
      <c r="N42" s="14">
        <v>0</v>
      </c>
      <c r="O42" s="19">
        <v>2</v>
      </c>
      <c r="P42" s="12">
        <v>10.642099999999999</v>
      </c>
      <c r="Q42" s="12">
        <v>0</v>
      </c>
      <c r="R42" s="12">
        <v>0</v>
      </c>
      <c r="S42" s="12">
        <f>ROUND(O42*P42,4)</f>
        <v>21.284199999999998</v>
      </c>
      <c r="T42" s="12" t="s">
        <v>10</v>
      </c>
      <c r="U42" s="12">
        <v>0</v>
      </c>
      <c r="V42" s="12">
        <v>0</v>
      </c>
      <c r="W42" s="12">
        <v>2.2355999999999998</v>
      </c>
      <c r="X42" s="12">
        <v>0</v>
      </c>
      <c r="Y42" s="12">
        <f>ROUND(S42+(O42*W42),4)</f>
        <v>25.755400000000002</v>
      </c>
      <c r="Z42" s="12" t="s">
        <v>10</v>
      </c>
      <c r="AA42" s="12">
        <v>0</v>
      </c>
      <c r="AB42" s="12">
        <f>U42</f>
        <v>0</v>
      </c>
      <c r="AC42" s="35">
        <v>9.65</v>
      </c>
      <c r="AD42" s="12">
        <v>0</v>
      </c>
      <c r="AE42" s="35">
        <f>ROUND((Y42+AP42+BB42)*AC42/100,4)</f>
        <v>5.2607999999999997</v>
      </c>
      <c r="AF42" s="12">
        <v>12.4321</v>
      </c>
      <c r="AG42" s="35">
        <f>ROUND(Y42+AP42+AE42+BC42,4)</f>
        <v>59.777099999999997</v>
      </c>
      <c r="AH42" s="12">
        <v>4</v>
      </c>
      <c r="AI42" s="12">
        <v>3</v>
      </c>
      <c r="AJ42" s="17" t="s">
        <v>12</v>
      </c>
      <c r="AK42" s="18">
        <v>0</v>
      </c>
      <c r="AL42" s="12">
        <v>4</v>
      </c>
      <c r="AM42" s="12" t="s">
        <v>76</v>
      </c>
      <c r="AN42" s="12" t="s">
        <v>76</v>
      </c>
      <c r="AO42" s="12">
        <v>0</v>
      </c>
      <c r="AP42" s="12">
        <f>ROUND(AF42*O42,4)</f>
        <v>24.8642</v>
      </c>
      <c r="AQ42" s="12">
        <f>ROUND(O42*W42,4)</f>
        <v>4.4711999999999996</v>
      </c>
      <c r="AR42" s="12">
        <v>0</v>
      </c>
      <c r="AS42" s="12">
        <v>0</v>
      </c>
      <c r="AT42" s="12">
        <v>0</v>
      </c>
      <c r="AU42" s="12">
        <v>0</v>
      </c>
      <c r="AV42" s="12">
        <v>0</v>
      </c>
      <c r="AW42" s="12">
        <v>0</v>
      </c>
      <c r="AX42" s="12"/>
      <c r="AY42" s="12"/>
      <c r="AZ42" s="12"/>
      <c r="BA42" s="12"/>
      <c r="BB42" s="12">
        <v>3.8967000000000001</v>
      </c>
      <c r="BC42" s="35">
        <f>ROUND((AD42+BB42),4)</f>
        <v>3.8967000000000001</v>
      </c>
      <c r="BD42" s="12" t="s">
        <v>10</v>
      </c>
      <c r="BE42" s="12" t="s">
        <v>10</v>
      </c>
      <c r="BF42" s="12">
        <v>0</v>
      </c>
      <c r="BG42" s="12">
        <v>0</v>
      </c>
      <c r="BH42" s="12">
        <v>0</v>
      </c>
      <c r="BI42" s="12" t="s">
        <v>15</v>
      </c>
      <c r="BJ42" s="12" t="s">
        <v>15</v>
      </c>
      <c r="BK42" s="12" t="s">
        <v>15</v>
      </c>
      <c r="BL42" s="12"/>
      <c r="BM42" s="12" t="s">
        <v>15</v>
      </c>
      <c r="BN42" t="s">
        <v>1055</v>
      </c>
    </row>
    <row r="43" spans="1:65" s="11" customFormat="1">
      <c r="A43" s="22">
        <v>32</v>
      </c>
      <c r="B43" s="32" t="s">
        <v>91</v>
      </c>
      <c r="C43" s="12" t="s">
        <v>115</v>
      </c>
      <c r="D43" s="36" t="s">
        <v>96</v>
      </c>
      <c r="E43" s="15" t="s">
        <v>6</v>
      </c>
      <c r="F43" s="14" t="s">
        <v>108</v>
      </c>
      <c r="G43" s="14" t="s">
        <v>110</v>
      </c>
      <c r="H43" s="14" t="s">
        <v>15</v>
      </c>
      <c r="I43" s="14" t="s">
        <v>15</v>
      </c>
      <c r="J43" s="14" t="s">
        <v>92</v>
      </c>
      <c r="K43" s="14" t="s">
        <v>74</v>
      </c>
      <c r="L43" s="15" t="s">
        <v>13</v>
      </c>
      <c r="M43" s="14" t="s">
        <v>75</v>
      </c>
      <c r="N43" s="14">
        <v>0</v>
      </c>
      <c r="O43" s="19">
        <v>2</v>
      </c>
      <c r="P43" s="12">
        <v>0.74199999999999999</v>
      </c>
      <c r="Q43" s="12">
        <v>0</v>
      </c>
      <c r="R43" s="12">
        <v>0</v>
      </c>
      <c r="S43" s="12">
        <f t="shared" ref="S43" si="15">ROUND(O43*P43,3)</f>
        <v>1.484</v>
      </c>
      <c r="T43" s="12" t="s">
        <v>10</v>
      </c>
      <c r="U43" s="12">
        <v>0</v>
      </c>
      <c r="V43" s="12">
        <v>0</v>
      </c>
      <c r="W43" s="12">
        <v>1.2310000000000001</v>
      </c>
      <c r="X43" s="12">
        <v>1.2350000000000001</v>
      </c>
      <c r="Y43" s="33">
        <f t="shared" ref="Y43:Y45" si="16">ROUND(S43+(O43*W43 + O43*X43),2)</f>
        <v>6.42</v>
      </c>
      <c r="Z43" s="12" t="s">
        <v>10</v>
      </c>
      <c r="AA43" s="12">
        <v>0</v>
      </c>
      <c r="AB43" s="12">
        <f t="shared" si="14"/>
        <v>0</v>
      </c>
      <c r="AC43" s="18">
        <v>8.1199999999999992</v>
      </c>
      <c r="AD43" s="12">
        <v>0</v>
      </c>
      <c r="AE43" s="18">
        <f>ROUND((Y43+AP43+BB43)*AC43/100,3)</f>
        <v>2.6259999999999999</v>
      </c>
      <c r="AF43" s="12">
        <v>9.5670000000000002</v>
      </c>
      <c r="AG43" s="18">
        <f>ROUND(Y43+AP43+AE43+BC43,3)</f>
        <v>34.969000000000001</v>
      </c>
      <c r="AH43" s="12">
        <v>3</v>
      </c>
      <c r="AI43" s="12">
        <v>2</v>
      </c>
      <c r="AJ43" s="17" t="s">
        <v>12</v>
      </c>
      <c r="AK43" s="18">
        <v>0</v>
      </c>
      <c r="AL43" s="12">
        <v>3</v>
      </c>
      <c r="AM43" s="12" t="s">
        <v>76</v>
      </c>
      <c r="AN43" s="12" t="s">
        <v>76</v>
      </c>
      <c r="AO43" s="12">
        <v>0</v>
      </c>
      <c r="AP43" s="12">
        <f>ROUND(AF43*O43,3)</f>
        <v>19.134</v>
      </c>
      <c r="AQ43" s="33">
        <f>ROUND(O43*W43,3)</f>
        <v>2.4620000000000002</v>
      </c>
      <c r="AR43" s="33">
        <f t="shared" ref="AR43:AR53" si="17">ROUND(O43*X43,2)</f>
        <v>2.4700000000000002</v>
      </c>
      <c r="AS43" s="12">
        <v>0</v>
      </c>
      <c r="AT43" s="12">
        <v>0</v>
      </c>
      <c r="AU43" s="12">
        <v>0</v>
      </c>
      <c r="AV43" s="12">
        <v>0</v>
      </c>
      <c r="AW43" s="12">
        <v>0</v>
      </c>
      <c r="AX43" s="12"/>
      <c r="AY43" s="12"/>
      <c r="AZ43" s="12"/>
      <c r="BA43" s="12"/>
      <c r="BB43" s="33">
        <v>6.7889999999999997</v>
      </c>
      <c r="BC43" s="18">
        <f t="shared" ref="BC43" si="18">ROUND((AD43+BB43),3)</f>
        <v>6.7889999999999997</v>
      </c>
      <c r="BD43" s="12" t="s">
        <v>10</v>
      </c>
      <c r="BE43" s="12" t="s">
        <v>10</v>
      </c>
      <c r="BF43" s="12">
        <v>0</v>
      </c>
      <c r="BG43" s="12">
        <v>0</v>
      </c>
      <c r="BH43" s="12">
        <v>0</v>
      </c>
      <c r="BI43" s="12" t="s">
        <v>15</v>
      </c>
      <c r="BJ43" s="12" t="s">
        <v>15</v>
      </c>
      <c r="BK43" s="12" t="s">
        <v>15</v>
      </c>
      <c r="BL43" s="12"/>
      <c r="BM43" s="12" t="s">
        <v>15</v>
      </c>
      <c r="BN43" t="s">
        <v>1055</v>
      </c>
    </row>
    <row r="44" spans="1:65" ht="21" customHeight="1">
      <c r="A44" s="13">
        <v>33</v>
      </c>
      <c r="B44" s="29" t="s">
        <v>80</v>
      </c>
      <c r="C44" s="15" t="s">
        <v>115</v>
      </c>
      <c r="D44" s="36" t="s">
        <v>96</v>
      </c>
      <c r="E44" s="15" t="s">
        <v>6</v>
      </c>
      <c r="F44" s="14" t="s">
        <v>108</v>
      </c>
      <c r="G44" s="36"/>
      <c r="H44" s="14" t="s">
        <v>14</v>
      </c>
      <c r="I44" s="36"/>
      <c r="J44" s="31" t="s">
        <v>97</v>
      </c>
      <c r="K44" s="31" t="s">
        <v>74</v>
      </c>
      <c r="L44" s="36" t="s">
        <v>13</v>
      </c>
      <c r="M44" s="36" t="s">
        <v>75</v>
      </c>
      <c r="N44" s="37">
        <v>0</v>
      </c>
      <c r="O44" s="19">
        <v>3</v>
      </c>
      <c r="P44" s="1">
        <v>0.54</v>
      </c>
      <c r="Q44" s="38">
        <v>0</v>
      </c>
      <c r="R44" s="12">
        <v>0</v>
      </c>
      <c r="S44" s="12">
        <v>5.4</v>
      </c>
      <c r="T44" s="1" t="s">
        <v>10</v>
      </c>
      <c r="U44" s="4">
        <v>0</v>
      </c>
      <c r="V44" s="4">
        <v>0</v>
      </c>
      <c r="W44" s="1">
        <v>3.45</v>
      </c>
      <c r="X44" s="1">
        <v>6.43</v>
      </c>
      <c r="Y44" s="12">
        <f t="shared" si="16"/>
        <v>35.04</v>
      </c>
      <c r="Z44" s="39" t="s">
        <v>10</v>
      </c>
      <c r="AA44" s="4">
        <v>0</v>
      </c>
      <c r="AB44" s="4">
        <v>0</v>
      </c>
      <c r="AC44" s="12">
        <v>7.85</v>
      </c>
      <c r="AD44" s="4">
        <v>0</v>
      </c>
      <c r="AE44" s="16">
        <f>ROUND((Y44+AP44+BB44)*AC44/100,2)</f>
        <v>2.75</v>
      </c>
      <c r="AF44" s="39">
        <v>0</v>
      </c>
      <c r="AG44" s="16">
        <f>ROUND(Y44+AP44+AE44+BC44,2)</f>
        <v>37.79</v>
      </c>
      <c r="AH44" s="1">
        <v>2</v>
      </c>
      <c r="AI44" s="12">
        <v>4</v>
      </c>
      <c r="AJ44" s="17" t="s">
        <v>12</v>
      </c>
      <c r="AK44" s="18">
        <v>0</v>
      </c>
      <c r="AL44" s="12">
        <v>2</v>
      </c>
      <c r="AM44" s="12" t="s">
        <v>76</v>
      </c>
      <c r="AN44" s="12" t="s">
        <v>76</v>
      </c>
      <c r="AO44" s="1">
        <v>0</v>
      </c>
      <c r="AP44" s="12">
        <f t="shared" ref="AP44" si="19">ROUND(AF44*O44,4)</f>
        <v>0</v>
      </c>
      <c r="AQ44" s="12">
        <f>ROUND(O44*W44,2)</f>
        <v>10.35</v>
      </c>
      <c r="AR44" s="12">
        <f t="shared" si="17"/>
        <v>19.29</v>
      </c>
      <c r="AS44" s="1">
        <v>0</v>
      </c>
      <c r="AT44" s="1">
        <v>0</v>
      </c>
      <c r="AU44" s="1">
        <v>0</v>
      </c>
      <c r="AV44" s="1">
        <v>0</v>
      </c>
      <c r="AW44" s="1">
        <v>0</v>
      </c>
      <c r="AX44" s="1"/>
      <c r="AY44" s="1"/>
      <c r="AZ44" s="1"/>
      <c r="BA44" s="1"/>
      <c r="BB44" s="12">
        <v>0</v>
      </c>
      <c r="BC44" s="1">
        <v>0</v>
      </c>
      <c r="BD44" s="1" t="s">
        <v>10</v>
      </c>
      <c r="BE44" s="1" t="s">
        <v>10</v>
      </c>
      <c r="BF44" s="1">
        <v>0</v>
      </c>
      <c r="BG44" s="1">
        <v>0</v>
      </c>
      <c r="BH44" s="1">
        <v>0</v>
      </c>
      <c r="BI44" s="12" t="s">
        <v>15</v>
      </c>
      <c r="BJ44" s="12" t="s">
        <v>15</v>
      </c>
      <c r="BK44" s="12" t="s">
        <v>15</v>
      </c>
      <c r="BL44" s="1"/>
      <c r="BM44" s="1" t="s">
        <v>15</v>
      </c>
      <c r="BN44" t="s">
        <v>1055</v>
      </c>
    </row>
    <row r="45" spans="1:65" ht="23.25" customHeight="1">
      <c r="A45" s="13">
        <v>34</v>
      </c>
      <c r="B45" s="29" t="s">
        <v>80</v>
      </c>
      <c r="C45" s="15" t="s">
        <v>115</v>
      </c>
      <c r="D45" s="36" t="s">
        <v>96</v>
      </c>
      <c r="E45" s="15" t="s">
        <v>6</v>
      </c>
      <c r="F45" s="14" t="s">
        <v>108</v>
      </c>
      <c r="G45" s="36"/>
      <c r="H45" s="14" t="s">
        <v>14</v>
      </c>
      <c r="I45" s="36"/>
      <c r="J45" s="31" t="s">
        <v>98</v>
      </c>
      <c r="K45" s="31" t="s">
        <v>74</v>
      </c>
      <c r="L45" s="36" t="s">
        <v>13</v>
      </c>
      <c r="M45" s="36" t="s">
        <v>75</v>
      </c>
      <c r="N45" s="36">
        <v>0</v>
      </c>
      <c r="O45" s="40">
        <v>7</v>
      </c>
      <c r="P45" s="1">
        <v>5</v>
      </c>
      <c r="Q45" s="1">
        <v>0</v>
      </c>
      <c r="R45" s="12">
        <v>0</v>
      </c>
      <c r="S45" s="1">
        <v>5</v>
      </c>
      <c r="T45" s="12" t="s">
        <v>10</v>
      </c>
      <c r="U45" s="4">
        <v>0</v>
      </c>
      <c r="V45" s="4">
        <v>0</v>
      </c>
      <c r="W45" s="39">
        <v>0</v>
      </c>
      <c r="X45" s="39">
        <v>0</v>
      </c>
      <c r="Y45" s="4">
        <f t="shared" si="16"/>
        <v>5</v>
      </c>
      <c r="Z45" s="12" t="s">
        <v>10</v>
      </c>
      <c r="AA45" s="4">
        <v>0</v>
      </c>
      <c r="AB45" s="39">
        <v>0</v>
      </c>
      <c r="AC45" s="12">
        <v>7.85</v>
      </c>
      <c r="AD45" s="4">
        <v>0</v>
      </c>
      <c r="AE45" s="16">
        <f>ROUND((Y45+AP45+BB45)*AC45/100,2)</f>
        <v>0.39</v>
      </c>
      <c r="AF45" s="39">
        <v>0</v>
      </c>
      <c r="AG45" s="16">
        <f>ROUND(Y45+AP45+AE45+BC45,2)</f>
        <v>5.39</v>
      </c>
      <c r="AH45" s="12">
        <v>2</v>
      </c>
      <c r="AI45" s="12">
        <v>4</v>
      </c>
      <c r="AJ45" s="17" t="s">
        <v>12</v>
      </c>
      <c r="AK45" s="18">
        <v>0</v>
      </c>
      <c r="AL45" s="12">
        <v>2</v>
      </c>
      <c r="AM45" s="12" t="s">
        <v>76</v>
      </c>
      <c r="AN45" s="12" t="s">
        <v>76</v>
      </c>
      <c r="AO45" s="12">
        <v>0</v>
      </c>
      <c r="AP45" s="12">
        <v>0</v>
      </c>
      <c r="AQ45" s="12">
        <v>0</v>
      </c>
      <c r="AR45" s="12">
        <f t="shared" si="17"/>
        <v>0</v>
      </c>
      <c r="AS45" s="12">
        <v>0</v>
      </c>
      <c r="AT45" s="12">
        <v>0</v>
      </c>
      <c r="AU45" s="12">
        <v>0</v>
      </c>
      <c r="AV45" s="1">
        <v>0</v>
      </c>
      <c r="AW45" s="1">
        <v>0</v>
      </c>
      <c r="AX45" s="1"/>
      <c r="AY45" s="1"/>
      <c r="AZ45" s="1"/>
      <c r="BA45" s="1"/>
      <c r="BB45" s="12">
        <v>0</v>
      </c>
      <c r="BC45" s="1">
        <v>0</v>
      </c>
      <c r="BD45" s="12" t="s">
        <v>10</v>
      </c>
      <c r="BE45" s="12" t="s">
        <v>10</v>
      </c>
      <c r="BF45" s="1">
        <v>0</v>
      </c>
      <c r="BG45" s="12">
        <v>0</v>
      </c>
      <c r="BH45" s="12">
        <v>0</v>
      </c>
      <c r="BI45" s="12" t="s">
        <v>15</v>
      </c>
      <c r="BJ45" s="12" t="s">
        <v>15</v>
      </c>
      <c r="BK45" s="12" t="s">
        <v>15</v>
      </c>
      <c r="BL45" s="1"/>
      <c r="BM45" s="1" t="s">
        <v>15</v>
      </c>
      <c r="BN45" t="s">
        <v>1055</v>
      </c>
    </row>
    <row r="46" spans="1:65" s="11" customFormat="1">
      <c r="A46" s="13"/>
      <c r="B46" s="23" t="s">
        <v>84</v>
      </c>
      <c r="C46" s="24"/>
      <c r="D46" s="25"/>
      <c r="E46" s="25"/>
      <c r="F46" s="25"/>
      <c r="G46" s="25"/>
      <c r="H46" s="25"/>
      <c r="I46" s="25"/>
      <c r="J46" s="25"/>
      <c r="K46" s="26"/>
      <c r="L46" s="26"/>
      <c r="M46" s="26"/>
      <c r="N46" s="26"/>
      <c r="O46" s="26"/>
      <c r="P46" s="22"/>
      <c r="Q46" s="21"/>
      <c r="R46" s="21"/>
      <c r="S46" s="27"/>
      <c r="T46" s="27"/>
      <c r="U46" s="27"/>
      <c r="V46" s="21"/>
      <c r="W46" s="21"/>
      <c r="X46" s="21"/>
      <c r="Y46" s="27"/>
      <c r="Z46" s="27"/>
      <c r="AA46" s="21"/>
      <c r="AB46" s="21"/>
      <c r="AC46" s="27"/>
      <c r="AD46" s="27"/>
      <c r="AE46" s="21"/>
      <c r="AF46" s="27"/>
      <c r="AG46" s="27"/>
      <c r="AH46" s="21"/>
      <c r="AI46" s="27"/>
      <c r="AJ46" s="21"/>
      <c r="AK46" s="27"/>
      <c r="AL46" s="27"/>
      <c r="AM46" s="21"/>
      <c r="AN46" s="21"/>
      <c r="AO46" s="22"/>
      <c r="AP46" s="27"/>
      <c r="AQ46" s="28"/>
      <c r="AR46" s="28"/>
      <c r="AS46" s="21"/>
      <c r="AT46" s="21"/>
      <c r="AU46" s="21"/>
      <c r="AV46" s="21"/>
      <c r="AW46" s="27"/>
      <c r="AX46" s="21"/>
      <c r="AY46" s="21"/>
      <c r="AZ46" s="21"/>
      <c r="BA46" s="21"/>
      <c r="BB46" s="21"/>
      <c r="BC46" s="21"/>
      <c r="BD46" s="21"/>
      <c r="BE46" s="21"/>
      <c r="BF46" s="21"/>
      <c r="BG46" s="21"/>
      <c r="BH46" s="21"/>
      <c r="BI46" s="21"/>
      <c r="BJ46" s="21"/>
      <c r="BK46" s="21"/>
      <c r="BL46" s="21"/>
      <c r="BM46" s="21"/>
      <c r="BN46" t="s">
        <v>1205</v>
      </c>
    </row>
    <row r="47" spans="1:65" s="11" customFormat="1">
      <c r="A47" s="13">
        <v>35</v>
      </c>
      <c r="B47" s="29" t="s">
        <v>80</v>
      </c>
      <c r="C47" s="12" t="s">
        <v>115</v>
      </c>
      <c r="D47" s="12" t="s">
        <v>16</v>
      </c>
      <c r="E47" s="15" t="s">
        <v>6</v>
      </c>
      <c r="F47" s="14" t="s">
        <v>11</v>
      </c>
      <c r="G47" s="15" t="s">
        <v>111</v>
      </c>
      <c r="H47" s="14" t="s">
        <v>14</v>
      </c>
      <c r="I47" s="14" t="s">
        <v>14</v>
      </c>
      <c r="J47" s="14" t="s">
        <v>77</v>
      </c>
      <c r="K47" s="14" t="s">
        <v>74</v>
      </c>
      <c r="L47" s="15" t="s">
        <v>13</v>
      </c>
      <c r="M47" s="14" t="s">
        <v>75</v>
      </c>
      <c r="N47" s="14">
        <v>0</v>
      </c>
      <c r="O47" s="19">
        <v>1</v>
      </c>
      <c r="P47" s="12">
        <v>0.98</v>
      </c>
      <c r="Q47" s="12">
        <v>0</v>
      </c>
      <c r="R47" s="12">
        <v>0</v>
      </c>
      <c r="S47" s="12">
        <f>ROUND(O47*P47,2)</f>
        <v>0.98</v>
      </c>
      <c r="T47" s="12" t="s">
        <v>10</v>
      </c>
      <c r="U47" s="12">
        <v>0</v>
      </c>
      <c r="V47" s="12">
        <v>0</v>
      </c>
      <c r="W47" s="12">
        <v>0.45</v>
      </c>
      <c r="X47" s="12">
        <v>0</v>
      </c>
      <c r="Y47" s="12">
        <v>18.59</v>
      </c>
      <c r="Z47" s="12" t="s">
        <v>10</v>
      </c>
      <c r="AA47" s="12">
        <v>0</v>
      </c>
      <c r="AB47" s="12">
        <v>0</v>
      </c>
      <c r="AC47" s="12">
        <v>7.85</v>
      </c>
      <c r="AD47" s="12">
        <v>0</v>
      </c>
      <c r="AE47" s="16">
        <f>ROUND((Y47+AP47+BB47)*AC47/100,2)</f>
        <v>5.92</v>
      </c>
      <c r="AF47" s="12">
        <v>54.62</v>
      </c>
      <c r="AG47" s="16">
        <f>ROUND(Y47+AP47+AE47+BC47,2)</f>
        <v>81.38</v>
      </c>
      <c r="AH47" s="12">
        <v>2</v>
      </c>
      <c r="AI47" s="12">
        <v>4</v>
      </c>
      <c r="AJ47" s="17" t="s">
        <v>12</v>
      </c>
      <c r="AK47" s="18">
        <v>0</v>
      </c>
      <c r="AL47" s="12">
        <v>2</v>
      </c>
      <c r="AM47" s="12" t="s">
        <v>76</v>
      </c>
      <c r="AN47" s="12" t="s">
        <v>76</v>
      </c>
      <c r="AO47" s="12">
        <v>0</v>
      </c>
      <c r="AP47" s="12">
        <f>ROUND(AF47*O47,2)</f>
        <v>54.62</v>
      </c>
      <c r="AQ47" s="4">
        <f>ROUND(O47*W47,2)</f>
        <v>0.45</v>
      </c>
      <c r="AR47" s="12">
        <v>0</v>
      </c>
      <c r="AS47" s="12">
        <v>200.12</v>
      </c>
      <c r="AT47" s="35">
        <f>ROUND(AG47-AS47,AL47)</f>
        <v>-118.74</v>
      </c>
      <c r="AU47" s="12">
        <v>585.73</v>
      </c>
      <c r="AV47" s="35">
        <f>ROUND(AT47-AU47,AL47)</f>
        <v>-704.47</v>
      </c>
      <c r="AW47" s="12">
        <v>0</v>
      </c>
      <c r="AX47" s="35">
        <f>ROUND(AV47-AW47,AL47)</f>
        <v>-704.47</v>
      </c>
      <c r="AY47" s="12">
        <v>0</v>
      </c>
      <c r="AZ47" s="35">
        <f>ROUND(AX47-AY47,AL47)</f>
        <v>-704.47</v>
      </c>
      <c r="BA47" s="12">
        <v>0</v>
      </c>
      <c r="BB47" s="16">
        <v>2.25</v>
      </c>
      <c r="BC47" s="16">
        <f>ROUND((AD47+BB47),2)</f>
        <v>2.25</v>
      </c>
      <c r="BD47" s="12" t="s">
        <v>10</v>
      </c>
      <c r="BE47" s="12" t="s">
        <v>10</v>
      </c>
      <c r="BF47" s="12">
        <v>0</v>
      </c>
      <c r="BG47" s="12">
        <v>0</v>
      </c>
      <c r="BH47" s="12">
        <v>0</v>
      </c>
      <c r="BI47" s="12" t="s">
        <v>15</v>
      </c>
      <c r="BJ47" s="12" t="s">
        <v>15</v>
      </c>
      <c r="BK47" s="12" t="s">
        <v>15</v>
      </c>
      <c r="BL47" s="12"/>
      <c r="BM47" s="12" t="s">
        <v>15</v>
      </c>
      <c r="BN47" t="s">
        <v>1206</v>
      </c>
    </row>
    <row r="48" spans="1:65" s="11" customFormat="1">
      <c r="A48" s="22">
        <v>36</v>
      </c>
      <c r="B48" s="32" t="s">
        <v>91</v>
      </c>
      <c r="C48" s="12" t="s">
        <v>115</v>
      </c>
      <c r="D48" s="12" t="s">
        <v>16</v>
      </c>
      <c r="E48" s="15" t="s">
        <v>6</v>
      </c>
      <c r="F48" s="14" t="s">
        <v>11</v>
      </c>
      <c r="G48" s="15" t="s">
        <v>111</v>
      </c>
      <c r="H48" s="14" t="s">
        <v>15</v>
      </c>
      <c r="I48" s="14" t="s">
        <v>101</v>
      </c>
      <c r="J48" s="14" t="s">
        <v>99</v>
      </c>
      <c r="K48" s="14" t="s">
        <v>74</v>
      </c>
      <c r="L48" s="15" t="s">
        <v>13</v>
      </c>
      <c r="M48" s="14" t="s">
        <v>75</v>
      </c>
      <c r="N48" s="14">
        <v>0</v>
      </c>
      <c r="O48" s="19">
        <v>2</v>
      </c>
      <c r="P48" s="12">
        <v>2.7120000000000002</v>
      </c>
      <c r="Q48" s="12">
        <v>0</v>
      </c>
      <c r="R48" s="12">
        <v>0</v>
      </c>
      <c r="S48" s="33">
        <f>ROUND(O48*P48,3)</f>
        <v>5.4240000000000004</v>
      </c>
      <c r="T48" s="12" t="s">
        <v>10</v>
      </c>
      <c r="U48" s="18">
        <v>6.25</v>
      </c>
      <c r="V48" s="18">
        <v>20.87</v>
      </c>
      <c r="W48" s="12">
        <v>4.8120000000000003</v>
      </c>
      <c r="X48" s="12">
        <v>0</v>
      </c>
      <c r="Y48" s="12">
        <v>68.989999999999995</v>
      </c>
      <c r="Z48" s="12" t="s">
        <v>10</v>
      </c>
      <c r="AA48" s="12">
        <v>1.2350000000000001</v>
      </c>
      <c r="AB48" s="33">
        <v>6.25</v>
      </c>
      <c r="AC48" s="18">
        <v>1.23</v>
      </c>
      <c r="AD48" s="12">
        <v>67.754999999999995</v>
      </c>
      <c r="AE48" s="18">
        <f>ROUND((Y48+AP48+BB48)*AC48/100,3)</f>
        <v>1.1000000000000001</v>
      </c>
      <c r="AF48" s="12">
        <v>8.5120000000000005</v>
      </c>
      <c r="AG48" s="18">
        <f>ROUND(Y48+AP48+AE48+BC48,3)</f>
        <v>158.32499999999999</v>
      </c>
      <c r="AH48" s="12">
        <v>3</v>
      </c>
      <c r="AI48" s="12">
        <v>2</v>
      </c>
      <c r="AJ48" s="17" t="s">
        <v>12</v>
      </c>
      <c r="AK48" s="18">
        <v>0</v>
      </c>
      <c r="AL48" s="12">
        <v>3</v>
      </c>
      <c r="AM48" s="12" t="s">
        <v>104</v>
      </c>
      <c r="AN48" s="12" t="s">
        <v>104</v>
      </c>
      <c r="AO48" s="12">
        <v>0</v>
      </c>
      <c r="AP48" s="12">
        <f>ROUND(AF48*O48,3)</f>
        <v>17.024000000000001</v>
      </c>
      <c r="AQ48" s="33">
        <f>ROUND(O48*W48,3)</f>
        <v>9.6240000000000006</v>
      </c>
      <c r="AR48" s="12">
        <v>0</v>
      </c>
      <c r="AS48" s="12">
        <v>48.692</v>
      </c>
      <c r="AT48" s="35">
        <f>ROUND(AG48-AS48,AL48)</f>
        <v>109.633</v>
      </c>
      <c r="AU48" s="12">
        <v>108.515</v>
      </c>
      <c r="AV48" s="35">
        <f>ROUND(AT48-AU48,AL48)</f>
        <v>1.1180000000000001</v>
      </c>
      <c r="AW48" s="12">
        <v>0</v>
      </c>
      <c r="AX48" s="35">
        <f>ROUND(AV48-AW48,AL48)</f>
        <v>1.1180000000000001</v>
      </c>
      <c r="AY48" s="12">
        <v>0</v>
      </c>
      <c r="AZ48" s="35">
        <f>ROUND(AX48-AY48,AL48)</f>
        <v>1.1180000000000001</v>
      </c>
      <c r="BA48" s="12">
        <v>0</v>
      </c>
      <c r="BB48" s="12">
        <v>3.456</v>
      </c>
      <c r="BC48" s="12">
        <v>71.210999999999999</v>
      </c>
      <c r="BD48" s="12" t="s">
        <v>10</v>
      </c>
      <c r="BE48" s="12" t="s">
        <v>10</v>
      </c>
      <c r="BF48" s="12">
        <v>0</v>
      </c>
      <c r="BG48" s="12">
        <v>0</v>
      </c>
      <c r="BH48" s="12">
        <v>0</v>
      </c>
      <c r="BI48" s="12" t="s">
        <v>15</v>
      </c>
      <c r="BJ48" s="12" t="s">
        <v>15</v>
      </c>
      <c r="BK48" s="12" t="s">
        <v>15</v>
      </c>
      <c r="BL48" s="12"/>
      <c r="BM48" s="12" t="s">
        <v>15</v>
      </c>
      <c r="BN48" t="s">
        <v>1055</v>
      </c>
    </row>
    <row r="49" spans="1:65" s="11" customFormat="1">
      <c r="A49" s="13">
        <v>37</v>
      </c>
      <c r="B49" s="32" t="s">
        <v>91</v>
      </c>
      <c r="C49" s="12" t="s">
        <v>115</v>
      </c>
      <c r="D49" s="12" t="s">
        <v>16</v>
      </c>
      <c r="E49" s="15" t="s">
        <v>6</v>
      </c>
      <c r="F49" s="14" t="s">
        <v>11</v>
      </c>
      <c r="G49" s="15" t="s">
        <v>111</v>
      </c>
      <c r="H49" s="14" t="s">
        <v>15</v>
      </c>
      <c r="I49" s="14" t="s">
        <v>15</v>
      </c>
      <c r="J49" s="14" t="s">
        <v>99</v>
      </c>
      <c r="K49" s="14" t="s">
        <v>74</v>
      </c>
      <c r="L49" s="15" t="s">
        <v>13</v>
      </c>
      <c r="M49" s="14" t="s">
        <v>75</v>
      </c>
      <c r="N49" s="14">
        <v>0</v>
      </c>
      <c r="O49" s="19">
        <v>3</v>
      </c>
      <c r="P49" s="12">
        <v>2.7120000000000002</v>
      </c>
      <c r="Q49" s="12">
        <v>0</v>
      </c>
      <c r="R49" s="12">
        <v>0</v>
      </c>
      <c r="S49" s="12">
        <f>ROUND(O49*P49,4)</f>
        <v>8.1359999999999992</v>
      </c>
      <c r="T49" s="12" t="s">
        <v>10</v>
      </c>
      <c r="U49" s="18">
        <v>6.25</v>
      </c>
      <c r="V49" s="18">
        <v>0</v>
      </c>
      <c r="W49" s="12">
        <v>1.2999999999999999E-2</v>
      </c>
      <c r="X49" s="12">
        <v>0</v>
      </c>
      <c r="Y49" s="12">
        <v>0</v>
      </c>
      <c r="Z49" s="12" t="s">
        <v>10</v>
      </c>
      <c r="AA49" s="12">
        <v>1.2350000000000001</v>
      </c>
      <c r="AB49" s="33">
        <v>6.25</v>
      </c>
      <c r="AC49" s="18">
        <v>1.23</v>
      </c>
      <c r="AD49" s="12">
        <v>0</v>
      </c>
      <c r="AE49" s="35">
        <f>ROUND((Y49+AP49+BB49)*AC49/100,4)</f>
        <v>4.6600000000000003E-2</v>
      </c>
      <c r="AF49" s="12">
        <v>0.112</v>
      </c>
      <c r="AG49" s="35">
        <f>ROUND(Y49+AP49+AE49+BC49,4)</f>
        <v>71.593599999999995</v>
      </c>
      <c r="AH49" s="12">
        <v>3</v>
      </c>
      <c r="AI49" s="12">
        <v>2</v>
      </c>
      <c r="AJ49" s="17" t="s">
        <v>12</v>
      </c>
      <c r="AK49" s="18">
        <v>0</v>
      </c>
      <c r="AL49" s="12">
        <v>3</v>
      </c>
      <c r="AM49" s="12" t="s">
        <v>76</v>
      </c>
      <c r="AN49" s="12" t="s">
        <v>76</v>
      </c>
      <c r="AO49" s="12">
        <v>0</v>
      </c>
      <c r="AP49" s="12">
        <f>ROUND(AF49*O49,4)</f>
        <v>0.33600000000000002</v>
      </c>
      <c r="AQ49" s="12">
        <f>ROUND(O49*W49,4)</f>
        <v>3.9E-2</v>
      </c>
      <c r="AR49" s="12">
        <v>0</v>
      </c>
      <c r="AS49" s="12">
        <v>9.36</v>
      </c>
      <c r="AT49" s="35">
        <v>0</v>
      </c>
      <c r="AU49" s="12">
        <v>0</v>
      </c>
      <c r="AV49" s="35">
        <f>ROUND(AT49-AU49,AL49)</f>
        <v>0</v>
      </c>
      <c r="AW49" s="12">
        <v>0</v>
      </c>
      <c r="AX49" s="35">
        <f>ROUND(AV49-AW49,AL49)</f>
        <v>0</v>
      </c>
      <c r="AY49" s="12">
        <v>0</v>
      </c>
      <c r="AZ49" s="35">
        <f>ROUND(AX49-AY49,AL49)</f>
        <v>0</v>
      </c>
      <c r="BA49" s="12">
        <v>0</v>
      </c>
      <c r="BB49" s="12">
        <v>3.456</v>
      </c>
      <c r="BC49" s="12">
        <v>71.210999999999999</v>
      </c>
      <c r="BD49" s="12" t="s">
        <v>10</v>
      </c>
      <c r="BE49" s="12" t="s">
        <v>10</v>
      </c>
      <c r="BF49" s="12">
        <v>0</v>
      </c>
      <c r="BG49" s="12">
        <v>0</v>
      </c>
      <c r="BH49" s="12">
        <v>0</v>
      </c>
      <c r="BI49" s="12" t="s">
        <v>15</v>
      </c>
      <c r="BJ49" s="12" t="s">
        <v>15</v>
      </c>
      <c r="BK49" s="12" t="s">
        <v>15</v>
      </c>
      <c r="BL49" s="12"/>
      <c r="BM49" s="12" t="s">
        <v>15</v>
      </c>
      <c r="BN49" t="s">
        <v>1055</v>
      </c>
    </row>
    <row r="50" spans="1:65" s="11" customFormat="1">
      <c r="A50" s="13"/>
      <c r="B50" s="23" t="s">
        <v>118</v>
      </c>
      <c r="C50" s="24"/>
      <c r="D50" s="25"/>
      <c r="E50" s="25"/>
      <c r="F50" s="25"/>
      <c r="G50" s="25"/>
      <c r="H50" s="25"/>
      <c r="I50" s="25"/>
      <c r="J50" s="25"/>
      <c r="K50" s="26"/>
      <c r="L50" s="26"/>
      <c r="M50" s="26"/>
      <c r="N50" s="26"/>
      <c r="O50" s="26"/>
      <c r="P50" s="22"/>
      <c r="Q50" s="21"/>
      <c r="R50" s="21"/>
      <c r="S50" s="27"/>
      <c r="T50" s="27"/>
      <c r="U50" s="27"/>
      <c r="V50" s="21"/>
      <c r="W50" s="21"/>
      <c r="X50" s="21"/>
      <c r="Y50" s="27"/>
      <c r="Z50" s="27"/>
      <c r="AA50" s="21"/>
      <c r="AB50" s="21"/>
      <c r="AC50" s="27"/>
      <c r="AD50" s="27"/>
      <c r="AE50" s="21"/>
      <c r="AF50" s="27"/>
      <c r="AG50" s="27"/>
      <c r="AH50" s="21"/>
      <c r="AI50" s="27"/>
      <c r="AJ50" s="21"/>
      <c r="AK50" s="27"/>
      <c r="AL50" s="27"/>
      <c r="AM50" s="21"/>
      <c r="AN50" s="21"/>
      <c r="AO50" s="22"/>
      <c r="AP50" s="27"/>
      <c r="AQ50" s="28"/>
      <c r="AR50" s="28"/>
      <c r="AS50" s="21"/>
      <c r="AT50" s="21"/>
      <c r="AU50" s="21"/>
      <c r="AV50" s="21"/>
      <c r="AW50" s="27"/>
      <c r="AX50" s="21"/>
      <c r="AY50" s="21"/>
      <c r="AZ50" s="21"/>
      <c r="BA50" s="21"/>
      <c r="BB50" s="21"/>
      <c r="BC50" s="21"/>
      <c r="BD50" s="21"/>
      <c r="BE50" s="21"/>
      <c r="BF50" s="21"/>
      <c r="BG50" s="21"/>
      <c r="BH50" s="21"/>
      <c r="BI50" s="21"/>
      <c r="BJ50" s="21"/>
      <c r="BK50" s="21"/>
      <c r="BL50" s="21"/>
      <c r="BM50" s="21"/>
      <c r="BN50" t="s">
        <v>1205</v>
      </c>
    </row>
    <row r="51" spans="1:65" s="11" customFormat="1">
      <c r="A51" s="13">
        <v>38</v>
      </c>
      <c r="B51" s="29" t="s">
        <v>80</v>
      </c>
      <c r="C51" s="15" t="s">
        <v>115</v>
      </c>
      <c r="D51" s="41" t="s">
        <v>16</v>
      </c>
      <c r="E51" s="15" t="s">
        <v>112</v>
      </c>
      <c r="F51" s="14" t="s">
        <v>11</v>
      </c>
      <c r="G51" s="14"/>
      <c r="H51" s="14" t="s">
        <v>14</v>
      </c>
      <c r="I51" s="14" t="s">
        <v>14</v>
      </c>
      <c r="J51" s="14" t="s">
        <v>77</v>
      </c>
      <c r="K51" s="14" t="s">
        <v>74</v>
      </c>
      <c r="L51" s="15" t="s">
        <v>13</v>
      </c>
      <c r="M51" s="14" t="s">
        <v>75</v>
      </c>
      <c r="N51" s="14">
        <v>0</v>
      </c>
      <c r="O51" s="19">
        <v>2</v>
      </c>
      <c r="P51" s="12">
        <v>0.98</v>
      </c>
      <c r="Q51" s="12">
        <v>0</v>
      </c>
      <c r="R51" s="12">
        <v>0</v>
      </c>
      <c r="S51" s="12">
        <f>ROUND(O51*P51,2)</f>
        <v>1.96</v>
      </c>
      <c r="T51" s="12" t="s">
        <v>10</v>
      </c>
      <c r="U51" s="4">
        <v>0</v>
      </c>
      <c r="V51" s="4">
        <v>0</v>
      </c>
      <c r="W51" s="12">
        <v>0.45</v>
      </c>
      <c r="X51" s="12">
        <v>0</v>
      </c>
      <c r="Y51" s="12">
        <f>ROUND(S51+(O51*W51),2)</f>
        <v>2.86</v>
      </c>
      <c r="Z51" s="12" t="s">
        <v>10</v>
      </c>
      <c r="AA51" s="4">
        <v>0</v>
      </c>
      <c r="AB51" s="4">
        <f t="shared" ref="AB51:AB52" si="20">U51</f>
        <v>0</v>
      </c>
      <c r="AC51" s="12">
        <v>7.85</v>
      </c>
      <c r="AD51" s="4">
        <v>0</v>
      </c>
      <c r="AE51" s="16">
        <f>ROUND((Y51+AP51+BB51)*AC51/100,2)</f>
        <v>8.98</v>
      </c>
      <c r="AF51" s="12">
        <v>54.62</v>
      </c>
      <c r="AG51" s="16">
        <f>ROUND(Y51+AP51+AE51+BC51,2)</f>
        <v>123.33</v>
      </c>
      <c r="AH51" s="12">
        <v>2</v>
      </c>
      <c r="AI51" s="12">
        <v>4</v>
      </c>
      <c r="AJ51" s="17" t="s">
        <v>12</v>
      </c>
      <c r="AK51" s="18">
        <v>0</v>
      </c>
      <c r="AL51" s="12">
        <v>2</v>
      </c>
      <c r="AM51" s="12" t="s">
        <v>76</v>
      </c>
      <c r="AN51" s="12" t="s">
        <v>76</v>
      </c>
      <c r="AO51" s="12">
        <v>0</v>
      </c>
      <c r="AP51" s="12">
        <f>ROUND(AF51*O51,2)</f>
        <v>109.24</v>
      </c>
      <c r="AQ51" s="12">
        <f>ROUND(O51*W51,2)</f>
        <v>0.9</v>
      </c>
      <c r="AR51" s="12">
        <v>0</v>
      </c>
      <c r="AS51" s="12">
        <v>0</v>
      </c>
      <c r="AT51" s="12">
        <v>0</v>
      </c>
      <c r="AU51" s="12">
        <v>0</v>
      </c>
      <c r="AV51" s="12">
        <v>0</v>
      </c>
      <c r="AW51" s="12">
        <v>0</v>
      </c>
      <c r="AX51" s="12"/>
      <c r="AY51" s="12"/>
      <c r="AZ51" s="12"/>
      <c r="BA51" s="12"/>
      <c r="BB51" s="16">
        <v>2.25</v>
      </c>
      <c r="BC51" s="16">
        <f>ROUND((AD51+BB51),2)</f>
        <v>2.25</v>
      </c>
      <c r="BD51" s="12" t="s">
        <v>10</v>
      </c>
      <c r="BE51" s="12" t="s">
        <v>10</v>
      </c>
      <c r="BF51" s="12">
        <v>0</v>
      </c>
      <c r="BG51" s="12">
        <v>0</v>
      </c>
      <c r="BH51" s="12">
        <v>0</v>
      </c>
      <c r="BI51" s="12" t="s">
        <v>15</v>
      </c>
      <c r="BJ51" s="12" t="s">
        <v>15</v>
      </c>
      <c r="BK51" s="12" t="s">
        <v>15</v>
      </c>
      <c r="BL51" s="12"/>
      <c r="BM51" s="12" t="s">
        <v>15</v>
      </c>
      <c r="BN51" t="s">
        <v>1055</v>
      </c>
    </row>
    <row r="52" spans="1:65" s="11" customFormat="1">
      <c r="A52" s="22">
        <v>39</v>
      </c>
      <c r="B52" s="32" t="s">
        <v>91</v>
      </c>
      <c r="C52" s="15" t="s">
        <v>115</v>
      </c>
      <c r="D52" s="12" t="s">
        <v>16</v>
      </c>
      <c r="E52" s="15" t="s">
        <v>112</v>
      </c>
      <c r="F52" s="14" t="s">
        <v>11</v>
      </c>
      <c r="G52" s="14"/>
      <c r="H52" s="14" t="s">
        <v>15</v>
      </c>
      <c r="I52" s="14" t="s">
        <v>15</v>
      </c>
      <c r="J52" s="14" t="s">
        <v>92</v>
      </c>
      <c r="K52" s="14" t="s">
        <v>74</v>
      </c>
      <c r="L52" s="15" t="s">
        <v>13</v>
      </c>
      <c r="M52" s="14" t="s">
        <v>75</v>
      </c>
      <c r="N52" s="14">
        <v>0</v>
      </c>
      <c r="O52" s="19">
        <v>3</v>
      </c>
      <c r="P52" s="12">
        <v>2.7120000000000002</v>
      </c>
      <c r="Q52" s="12">
        <v>0</v>
      </c>
      <c r="R52" s="12">
        <v>0</v>
      </c>
      <c r="S52" s="12">
        <f>ROUND(O52*P52,3)</f>
        <v>8.1359999999999992</v>
      </c>
      <c r="T52" s="12" t="s">
        <v>10</v>
      </c>
      <c r="U52" s="12">
        <v>0</v>
      </c>
      <c r="V52" s="12">
        <v>0</v>
      </c>
      <c r="W52" s="12">
        <v>1.2310000000000001</v>
      </c>
      <c r="X52" s="12">
        <v>0</v>
      </c>
      <c r="Y52" s="12">
        <f>ROUND(S52+(O52*W52),3)</f>
        <v>11.829000000000001</v>
      </c>
      <c r="Z52" s="12" t="s">
        <v>10</v>
      </c>
      <c r="AA52" s="12">
        <v>0</v>
      </c>
      <c r="AB52" s="12">
        <f t="shared" si="20"/>
        <v>0</v>
      </c>
      <c r="AC52" s="18">
        <v>8.1199999999999992</v>
      </c>
      <c r="AD52" s="12">
        <v>0</v>
      </c>
      <c r="AE52" s="18">
        <f>ROUND((Y52+AP52+BB52)*AC52/100,3)</f>
        <v>3.8420000000000001</v>
      </c>
      <c r="AF52" s="12">
        <v>9.5670000000000002</v>
      </c>
      <c r="AG52" s="18">
        <f>ROUND(Y52+AP52+AE52+BC52,3)</f>
        <v>51.161000000000001</v>
      </c>
      <c r="AH52" s="12">
        <v>3</v>
      </c>
      <c r="AI52" s="12">
        <v>2</v>
      </c>
      <c r="AJ52" s="17" t="s">
        <v>12</v>
      </c>
      <c r="AK52" s="18">
        <v>0</v>
      </c>
      <c r="AL52" s="12">
        <v>3</v>
      </c>
      <c r="AM52" s="12" t="s">
        <v>76</v>
      </c>
      <c r="AN52" s="12" t="s">
        <v>76</v>
      </c>
      <c r="AO52" s="12">
        <v>0</v>
      </c>
      <c r="AP52" s="12">
        <f>ROUND(AF52*O52,3)</f>
        <v>28.701000000000001</v>
      </c>
      <c r="AQ52" s="12">
        <f>ROUND(O52*W52,3)</f>
        <v>3.6930000000000001</v>
      </c>
      <c r="AR52" s="12">
        <v>0</v>
      </c>
      <c r="AS52" s="12">
        <v>0</v>
      </c>
      <c r="AT52" s="12">
        <v>0</v>
      </c>
      <c r="AU52" s="12">
        <v>0</v>
      </c>
      <c r="AV52" s="12">
        <v>0</v>
      </c>
      <c r="AW52" s="12">
        <v>0</v>
      </c>
      <c r="AX52" s="12"/>
      <c r="AY52" s="12"/>
      <c r="AZ52" s="12"/>
      <c r="BA52" s="12"/>
      <c r="BB52" s="33">
        <v>6.7889999999999997</v>
      </c>
      <c r="BC52" s="18">
        <f>ROUND((AD52+BB52),3)</f>
        <v>6.7889999999999997</v>
      </c>
      <c r="BD52" s="12" t="s">
        <v>10</v>
      </c>
      <c r="BE52" s="12" t="s">
        <v>10</v>
      </c>
      <c r="BF52" s="12">
        <v>0</v>
      </c>
      <c r="BG52" s="12">
        <v>0</v>
      </c>
      <c r="BH52" s="12">
        <v>0</v>
      </c>
      <c r="BI52" s="12" t="s">
        <v>15</v>
      </c>
      <c r="BJ52" s="12" t="s">
        <v>15</v>
      </c>
      <c r="BK52" s="12" t="s">
        <v>15</v>
      </c>
      <c r="BL52" s="12"/>
      <c r="BM52" s="12" t="s">
        <v>15</v>
      </c>
      <c r="BN52" t="s">
        <v>1055</v>
      </c>
    </row>
    <row r="53" spans="1:65" ht="21" customHeight="1">
      <c r="A53" s="13">
        <v>40</v>
      </c>
      <c r="B53" s="29" t="s">
        <v>80</v>
      </c>
      <c r="C53" s="15" t="s">
        <v>115</v>
      </c>
      <c r="D53" s="36" t="s">
        <v>96</v>
      </c>
      <c r="E53" s="15" t="s">
        <v>112</v>
      </c>
      <c r="F53" s="36" t="s">
        <v>11</v>
      </c>
      <c r="G53" s="36"/>
      <c r="H53" s="14" t="s">
        <v>14</v>
      </c>
      <c r="I53" s="36"/>
      <c r="J53" s="31" t="s">
        <v>97</v>
      </c>
      <c r="K53" s="31" t="s">
        <v>74</v>
      </c>
      <c r="L53" s="36" t="s">
        <v>13</v>
      </c>
      <c r="M53" s="36" t="s">
        <v>75</v>
      </c>
      <c r="N53" s="37">
        <v>0</v>
      </c>
      <c r="O53" s="38">
        <v>3</v>
      </c>
      <c r="P53" s="1">
        <v>0.54</v>
      </c>
      <c r="Q53" s="38">
        <v>0</v>
      </c>
      <c r="R53" s="12">
        <v>0</v>
      </c>
      <c r="S53" s="12">
        <v>5.4</v>
      </c>
      <c r="T53" s="1" t="s">
        <v>10</v>
      </c>
      <c r="U53" s="4">
        <v>0</v>
      </c>
      <c r="V53" s="4">
        <v>0</v>
      </c>
      <c r="W53" s="1">
        <v>3.45</v>
      </c>
      <c r="X53" s="1">
        <v>4.32</v>
      </c>
      <c r="Y53" s="12">
        <f t="shared" ref="Y53" si="21">ROUND(S53+(O53*W53 + O53*X53),2)</f>
        <v>28.71</v>
      </c>
      <c r="Z53" s="39" t="s">
        <v>10</v>
      </c>
      <c r="AA53" s="4">
        <v>0</v>
      </c>
      <c r="AB53" s="4">
        <v>0</v>
      </c>
      <c r="AC53" s="12">
        <v>7.85</v>
      </c>
      <c r="AD53" s="4">
        <v>0</v>
      </c>
      <c r="AE53" s="16">
        <f>ROUND((Y53+AP53+BB53)*AC53/100,2)</f>
        <v>2.25</v>
      </c>
      <c r="AF53" s="39">
        <v>0</v>
      </c>
      <c r="AG53" s="16">
        <f>ROUND(Y53+AP53+AE53+BC53,2)</f>
        <v>30.96</v>
      </c>
      <c r="AH53" s="1">
        <v>2</v>
      </c>
      <c r="AI53" s="12">
        <v>4</v>
      </c>
      <c r="AJ53" s="17" t="s">
        <v>12</v>
      </c>
      <c r="AK53" s="18">
        <v>0</v>
      </c>
      <c r="AL53" s="12">
        <v>2</v>
      </c>
      <c r="AM53" s="12" t="s">
        <v>76</v>
      </c>
      <c r="AN53" s="12" t="s">
        <v>76</v>
      </c>
      <c r="AO53" s="1">
        <v>0</v>
      </c>
      <c r="AP53" s="12">
        <f t="shared" ref="AP53" si="22">ROUND(AF53*O53,4)</f>
        <v>0</v>
      </c>
      <c r="AQ53" s="12">
        <f>ROUND(O53*W53,2)</f>
        <v>10.35</v>
      </c>
      <c r="AR53" s="12">
        <f t="shared" si="17"/>
        <v>12.96</v>
      </c>
      <c r="AS53" s="1">
        <v>0</v>
      </c>
      <c r="AT53" s="1">
        <v>0</v>
      </c>
      <c r="AU53" s="1">
        <v>0</v>
      </c>
      <c r="AV53" s="1">
        <v>0</v>
      </c>
      <c r="AW53" s="1">
        <v>0</v>
      </c>
      <c r="AX53" s="1"/>
      <c r="AY53" s="1"/>
      <c r="AZ53" s="1"/>
      <c r="BA53" s="1"/>
      <c r="BB53" s="12">
        <v>0</v>
      </c>
      <c r="BC53" s="1">
        <v>0</v>
      </c>
      <c r="BD53" s="1" t="s">
        <v>10</v>
      </c>
      <c r="BE53" s="1" t="s">
        <v>10</v>
      </c>
      <c r="BF53" s="1">
        <v>0</v>
      </c>
      <c r="BG53" s="1">
        <v>0</v>
      </c>
      <c r="BH53" s="1">
        <v>0</v>
      </c>
      <c r="BI53" s="12" t="s">
        <v>15</v>
      </c>
      <c r="BJ53" s="12" t="s">
        <v>15</v>
      </c>
      <c r="BK53" s="12" t="s">
        <v>15</v>
      </c>
      <c r="BL53" s="1"/>
      <c r="BM53" s="1" t="s">
        <v>15</v>
      </c>
      <c r="BN53" t="s">
        <v>1055</v>
      </c>
    </row>
    <row r="54" spans="1:65" s="11" customFormat="1">
      <c r="A54" s="13"/>
      <c r="B54" s="23" t="s">
        <v>119</v>
      </c>
      <c r="C54" s="24"/>
      <c r="D54" s="25"/>
      <c r="E54" s="25"/>
      <c r="F54" s="25"/>
      <c r="G54" s="25"/>
      <c r="H54" s="25"/>
      <c r="I54" s="25"/>
      <c r="J54" s="25"/>
      <c r="K54" s="26"/>
      <c r="L54" s="26"/>
      <c r="M54" s="26"/>
      <c r="N54" s="26"/>
      <c r="O54" s="26"/>
      <c r="P54" s="22"/>
      <c r="Q54" s="21"/>
      <c r="R54" s="21"/>
      <c r="S54" s="27"/>
      <c r="T54" s="27"/>
      <c r="U54" s="27"/>
      <c r="V54" s="21"/>
      <c r="W54" s="21"/>
      <c r="X54" s="21"/>
      <c r="Y54" s="27"/>
      <c r="Z54" s="27"/>
      <c r="AA54" s="21"/>
      <c r="AB54" s="21"/>
      <c r="AC54" s="27"/>
      <c r="AD54" s="27"/>
      <c r="AE54" s="21"/>
      <c r="AF54" s="27"/>
      <c r="AG54" s="27"/>
      <c r="AH54" s="21"/>
      <c r="AI54" s="27"/>
      <c r="AJ54" s="21"/>
      <c r="AK54" s="27"/>
      <c r="AL54" s="27"/>
      <c r="AM54" s="21"/>
      <c r="AN54" s="21"/>
      <c r="AO54" s="22"/>
      <c r="AP54" s="27"/>
      <c r="AQ54" s="28"/>
      <c r="AR54" s="28"/>
      <c r="AS54" s="21"/>
      <c r="AT54" s="21"/>
      <c r="AU54" s="21"/>
      <c r="AV54" s="21"/>
      <c r="AW54" s="27"/>
      <c r="AX54" s="21"/>
      <c r="AY54" s="21"/>
      <c r="AZ54" s="21"/>
      <c r="BA54" s="21"/>
      <c r="BB54" s="21"/>
      <c r="BC54" s="21"/>
      <c r="BD54" s="21"/>
      <c r="BE54" s="21"/>
      <c r="BF54" s="21"/>
      <c r="BG54" s="21"/>
      <c r="BH54" s="21"/>
      <c r="BI54" s="21"/>
      <c r="BJ54" s="21"/>
      <c r="BK54" s="21"/>
      <c r="BL54" s="21"/>
      <c r="BM54" s="21"/>
      <c r="BN54" t="s">
        <v>1205</v>
      </c>
    </row>
    <row r="55" spans="1:65" s="11" customFormat="1">
      <c r="A55" s="13">
        <v>41</v>
      </c>
      <c r="B55" s="29" t="s">
        <v>80</v>
      </c>
      <c r="C55" s="15" t="s">
        <v>115</v>
      </c>
      <c r="D55" s="15" t="s">
        <v>113</v>
      </c>
      <c r="E55" s="15" t="s">
        <v>112</v>
      </c>
      <c r="F55" s="14" t="s">
        <v>11</v>
      </c>
      <c r="G55" s="14"/>
      <c r="H55" s="14" t="s">
        <v>14</v>
      </c>
      <c r="I55" s="14" t="s">
        <v>14</v>
      </c>
      <c r="J55" s="14" t="s">
        <v>77</v>
      </c>
      <c r="K55" s="14" t="s">
        <v>74</v>
      </c>
      <c r="L55" s="15" t="s">
        <v>13</v>
      </c>
      <c r="M55" s="14" t="s">
        <v>75</v>
      </c>
      <c r="N55" s="14">
        <v>0</v>
      </c>
      <c r="O55" s="19">
        <v>2</v>
      </c>
      <c r="P55" s="12">
        <v>0.98</v>
      </c>
      <c r="Q55" s="12">
        <v>0</v>
      </c>
      <c r="R55" s="12">
        <v>0</v>
      </c>
      <c r="S55" s="12">
        <f>ROUND(O55*P55,2)</f>
        <v>1.96</v>
      </c>
      <c r="T55" s="12" t="s">
        <v>10</v>
      </c>
      <c r="U55" s="4">
        <v>0</v>
      </c>
      <c r="V55" s="4">
        <v>0</v>
      </c>
      <c r="W55" s="12">
        <v>0.45</v>
      </c>
      <c r="X55" s="12">
        <v>0</v>
      </c>
      <c r="Y55" s="12">
        <f>ROUND(S55+(O55*W55),2)</f>
        <v>2.86</v>
      </c>
      <c r="Z55" s="12" t="s">
        <v>10</v>
      </c>
      <c r="AA55" s="4">
        <v>0</v>
      </c>
      <c r="AB55" s="4">
        <f t="shared" ref="AB55:AB56" si="23">U55</f>
        <v>0</v>
      </c>
      <c r="AC55" s="12">
        <v>7.85</v>
      </c>
      <c r="AD55" s="4">
        <v>0</v>
      </c>
      <c r="AE55" s="16">
        <f>ROUND((Y55+AP55+BB55)*AC55/100,2)</f>
        <v>8.98</v>
      </c>
      <c r="AF55" s="12">
        <v>54.62</v>
      </c>
      <c r="AG55" s="16">
        <f>ROUND(Y55+AP55+AE55+BC55,2)</f>
        <v>123.33</v>
      </c>
      <c r="AH55" s="12">
        <v>2</v>
      </c>
      <c r="AI55" s="12">
        <v>4</v>
      </c>
      <c r="AJ55" s="17" t="s">
        <v>12</v>
      </c>
      <c r="AK55" s="18">
        <v>0</v>
      </c>
      <c r="AL55" s="12">
        <v>2</v>
      </c>
      <c r="AM55" s="12" t="s">
        <v>76</v>
      </c>
      <c r="AN55" s="12" t="s">
        <v>76</v>
      </c>
      <c r="AO55" s="12">
        <v>0</v>
      </c>
      <c r="AP55" s="12">
        <f>ROUND(AF55*O55,2)</f>
        <v>109.24</v>
      </c>
      <c r="AQ55" s="12">
        <f>ROUND(O55*W55,2)</f>
        <v>0.9</v>
      </c>
      <c r="AR55" s="12">
        <v>0</v>
      </c>
      <c r="AS55" s="12">
        <v>0</v>
      </c>
      <c r="AT55" s="12">
        <v>0</v>
      </c>
      <c r="AU55" s="12">
        <v>0</v>
      </c>
      <c r="AV55" s="12">
        <v>0</v>
      </c>
      <c r="AW55" s="12">
        <v>0</v>
      </c>
      <c r="AX55" s="12"/>
      <c r="AY55" s="12"/>
      <c r="AZ55" s="12"/>
      <c r="BA55" s="12"/>
      <c r="BB55" s="16">
        <v>2.25</v>
      </c>
      <c r="BC55" s="16">
        <f>ROUND((AD55+BB55),2)</f>
        <v>2.25</v>
      </c>
      <c r="BD55" s="12" t="s">
        <v>10</v>
      </c>
      <c r="BE55" s="12" t="s">
        <v>10</v>
      </c>
      <c r="BF55" s="12">
        <v>0</v>
      </c>
      <c r="BG55" s="12">
        <v>0</v>
      </c>
      <c r="BH55" s="12">
        <v>0</v>
      </c>
      <c r="BI55" s="12" t="s">
        <v>15</v>
      </c>
      <c r="BJ55" s="12" t="s">
        <v>15</v>
      </c>
      <c r="BK55" s="12" t="s">
        <v>15</v>
      </c>
      <c r="BL55" s="57" t="s">
        <v>114</v>
      </c>
      <c r="BM55" s="12" t="s">
        <v>15</v>
      </c>
      <c r="BN55" t="s">
        <v>1055</v>
      </c>
    </row>
    <row r="56" spans="1:65" s="11" customFormat="1">
      <c r="A56" s="13">
        <v>42</v>
      </c>
      <c r="B56" s="32" t="s">
        <v>91</v>
      </c>
      <c r="C56" s="15" t="s">
        <v>115</v>
      </c>
      <c r="D56" s="15" t="s">
        <v>113</v>
      </c>
      <c r="E56" s="15" t="s">
        <v>112</v>
      </c>
      <c r="F56" s="14" t="s">
        <v>11</v>
      </c>
      <c r="G56" s="14"/>
      <c r="H56" s="14" t="s">
        <v>15</v>
      </c>
      <c r="I56" s="14" t="s">
        <v>15</v>
      </c>
      <c r="J56" s="14" t="s">
        <v>92</v>
      </c>
      <c r="K56" s="14" t="s">
        <v>74</v>
      </c>
      <c r="L56" s="15" t="s">
        <v>13</v>
      </c>
      <c r="M56" s="14" t="s">
        <v>75</v>
      </c>
      <c r="N56" s="14">
        <v>0</v>
      </c>
      <c r="O56" s="19">
        <v>3</v>
      </c>
      <c r="P56" s="12">
        <v>2.7120000000000002</v>
      </c>
      <c r="Q56" s="12">
        <v>0</v>
      </c>
      <c r="R56" s="12">
        <v>0</v>
      </c>
      <c r="S56" s="12">
        <f>ROUND(O56*P56,3)</f>
        <v>8.1359999999999992</v>
      </c>
      <c r="T56" s="12" t="s">
        <v>10</v>
      </c>
      <c r="U56" s="12">
        <v>0</v>
      </c>
      <c r="V56" s="12">
        <v>0</v>
      </c>
      <c r="W56" s="12">
        <v>1.2310000000000001</v>
      </c>
      <c r="X56" s="12">
        <v>0</v>
      </c>
      <c r="Y56" s="12">
        <f>ROUND(S56+(O56*W56),3)</f>
        <v>11.829000000000001</v>
      </c>
      <c r="Z56" s="12" t="s">
        <v>10</v>
      </c>
      <c r="AA56" s="12">
        <v>0</v>
      </c>
      <c r="AB56" s="12">
        <f t="shared" si="23"/>
        <v>0</v>
      </c>
      <c r="AC56" s="18">
        <v>8.1199999999999992</v>
      </c>
      <c r="AD56" s="12">
        <v>0</v>
      </c>
      <c r="AE56" s="18">
        <f>ROUND((Y56+AP56+BB56)*AC56/100,3)</f>
        <v>3.8420000000000001</v>
      </c>
      <c r="AF56" s="12">
        <v>9.5670000000000002</v>
      </c>
      <c r="AG56" s="18">
        <f>ROUND(Y56+AP56+AE56+BC56,3)</f>
        <v>51.161000000000001</v>
      </c>
      <c r="AH56" s="12">
        <v>3</v>
      </c>
      <c r="AI56" s="12">
        <v>2</v>
      </c>
      <c r="AJ56" s="17" t="s">
        <v>12</v>
      </c>
      <c r="AK56" s="18">
        <v>0</v>
      </c>
      <c r="AL56" s="12">
        <v>3</v>
      </c>
      <c r="AM56" s="12" t="s">
        <v>76</v>
      </c>
      <c r="AN56" s="12" t="s">
        <v>76</v>
      </c>
      <c r="AO56" s="12">
        <v>0</v>
      </c>
      <c r="AP56" s="12">
        <f>ROUND(AF56*O56,3)</f>
        <v>28.701000000000001</v>
      </c>
      <c r="AQ56" s="12">
        <f>ROUND(O56*W56,3)</f>
        <v>3.6930000000000001</v>
      </c>
      <c r="AR56" s="12">
        <v>0</v>
      </c>
      <c r="AS56" s="12">
        <v>0</v>
      </c>
      <c r="AT56" s="12">
        <v>0</v>
      </c>
      <c r="AU56" s="12">
        <v>0</v>
      </c>
      <c r="AV56" s="12">
        <v>0</v>
      </c>
      <c r="AW56" s="12">
        <v>0</v>
      </c>
      <c r="AX56" s="12"/>
      <c r="AY56" s="12"/>
      <c r="AZ56" s="12"/>
      <c r="BA56" s="12"/>
      <c r="BB56" s="33">
        <v>6.7889999999999997</v>
      </c>
      <c r="BC56" s="18">
        <f>ROUND((AD56+BB56),3)</f>
        <v>6.7889999999999997</v>
      </c>
      <c r="BD56" s="12" t="s">
        <v>10</v>
      </c>
      <c r="BE56" s="12" t="s">
        <v>10</v>
      </c>
      <c r="BF56" s="12">
        <v>0</v>
      </c>
      <c r="BG56" s="12">
        <v>0</v>
      </c>
      <c r="BH56" s="12">
        <v>0</v>
      </c>
      <c r="BI56" s="12" t="s">
        <v>15</v>
      </c>
      <c r="BJ56" s="12" t="s">
        <v>15</v>
      </c>
      <c r="BK56" s="12" t="s">
        <v>15</v>
      </c>
      <c r="BL56" s="57" t="s">
        <v>114</v>
      </c>
      <c r="BM56" s="12" t="s">
        <v>15</v>
      </c>
      <c r="BN56" t="s">
        <v>1055</v>
      </c>
    </row>
    <row r="57" spans="1:65" s="11" customFormat="1">
      <c r="A57" s="22">
        <v>43</v>
      </c>
      <c r="B57" s="34" t="s">
        <v>93</v>
      </c>
      <c r="C57" s="15" t="s">
        <v>115</v>
      </c>
      <c r="D57" s="15" t="s">
        <v>113</v>
      </c>
      <c r="E57" s="15" t="s">
        <v>112</v>
      </c>
      <c r="F57" s="14" t="s">
        <v>11</v>
      </c>
      <c r="G57" s="14"/>
      <c r="H57" s="14" t="s">
        <v>14</v>
      </c>
      <c r="I57" s="14" t="s">
        <v>94</v>
      </c>
      <c r="J57" s="14" t="s">
        <v>99</v>
      </c>
      <c r="K57" s="14" t="s">
        <v>74</v>
      </c>
      <c r="L57" s="15" t="s">
        <v>13</v>
      </c>
      <c r="M57" s="14" t="s">
        <v>75</v>
      </c>
      <c r="N57" s="14">
        <v>0</v>
      </c>
      <c r="O57" s="19">
        <v>2</v>
      </c>
      <c r="P57" s="12">
        <v>0</v>
      </c>
      <c r="Q57" s="12">
        <v>1.6420999999999999</v>
      </c>
      <c r="R57" s="12">
        <v>0</v>
      </c>
      <c r="S57" s="12">
        <f>ROUND(Q57,4)</f>
        <v>1.6420999999999999</v>
      </c>
      <c r="T57" s="12" t="s">
        <v>10</v>
      </c>
      <c r="U57" s="12">
        <v>0</v>
      </c>
      <c r="V57" s="12">
        <v>0</v>
      </c>
      <c r="W57" s="12">
        <v>2.2355999999999998</v>
      </c>
      <c r="X57" s="12">
        <v>0</v>
      </c>
      <c r="Y57" s="12">
        <f>ROUND(S57+(O57*W57),4)</f>
        <v>6.1132999999999997</v>
      </c>
      <c r="Z57" s="12" t="s">
        <v>10</v>
      </c>
      <c r="AA57" s="52">
        <v>50</v>
      </c>
      <c r="AB57" s="52">
        <f>U57</f>
        <v>0</v>
      </c>
      <c r="AC57" s="52">
        <v>1.23</v>
      </c>
      <c r="AD57" s="52">
        <f>ROUND(Y57-AA57,3)</f>
        <v>-43.887</v>
      </c>
      <c r="AE57" s="35">
        <f>ROUND((Y57+AP57+BB57)*AC57/100,4)</f>
        <v>0.33250000000000002</v>
      </c>
      <c r="AF57" s="52">
        <v>8.5120000000000005</v>
      </c>
      <c r="AG57" s="35">
        <f>ROUND(Y57+AP57+AE57+BC57,4)</f>
        <v>-16.520199999999999</v>
      </c>
      <c r="AH57" s="12">
        <v>4</v>
      </c>
      <c r="AI57" s="12">
        <v>3</v>
      </c>
      <c r="AJ57" s="17" t="s">
        <v>12</v>
      </c>
      <c r="AK57" s="18">
        <v>0</v>
      </c>
      <c r="AL57" s="12">
        <v>4</v>
      </c>
      <c r="AM57" s="12" t="s">
        <v>76</v>
      </c>
      <c r="AN57" s="12" t="s">
        <v>76</v>
      </c>
      <c r="AO57" s="12">
        <v>0</v>
      </c>
      <c r="AP57" s="12">
        <f>ROUND(AF57*O57,4)</f>
        <v>17.024000000000001</v>
      </c>
      <c r="AQ57" s="12">
        <f>ROUND(O57*W57,4)</f>
        <v>4.4711999999999996</v>
      </c>
      <c r="AR57" s="12">
        <v>0</v>
      </c>
      <c r="AS57" s="12">
        <v>0</v>
      </c>
      <c r="AT57" s="12">
        <v>0</v>
      </c>
      <c r="AU57" s="12">
        <v>0</v>
      </c>
      <c r="AV57" s="12">
        <v>0</v>
      </c>
      <c r="AW57" s="12">
        <v>0</v>
      </c>
      <c r="AX57" s="12"/>
      <c r="AY57" s="12"/>
      <c r="AZ57" s="12"/>
      <c r="BA57" s="12"/>
      <c r="BB57" s="12">
        <v>3.8967000000000001</v>
      </c>
      <c r="BC57" s="18">
        <f>ROUND((AD57+BB57),3)</f>
        <v>-39.99</v>
      </c>
      <c r="BD57" s="12" t="s">
        <v>10</v>
      </c>
      <c r="BE57" s="12" t="s">
        <v>10</v>
      </c>
      <c r="BF57" s="12">
        <v>0</v>
      </c>
      <c r="BG57" s="12">
        <v>0</v>
      </c>
      <c r="BH57" s="12">
        <v>0</v>
      </c>
      <c r="BI57" s="12" t="s">
        <v>15</v>
      </c>
      <c r="BJ57" s="12" t="s">
        <v>15</v>
      </c>
      <c r="BK57" s="12" t="s">
        <v>15</v>
      </c>
      <c r="BL57" s="57" t="s">
        <v>114</v>
      </c>
      <c r="BM57" s="12" t="s">
        <v>15</v>
      </c>
      <c r="BN57" t="s">
        <v>1055</v>
      </c>
    </row>
    <row r="58" spans="1:65">
      <c r="A58" s="123"/>
      <c r="BN58" t="s">
        <v>1205</v>
      </c>
    </row>
    <row r="59" spans="1:65">
      <c r="A59" s="123"/>
      <c r="BN59" t="s">
        <v>1205</v>
      </c>
    </row>
    <row r="60" spans="1:65">
      <c r="A60" s="123"/>
      <c r="BN60" t="s">
        <v>1205</v>
      </c>
    </row>
  </sheetData>
  <mergeCells count="1">
    <mergeCell ref="B12:J12"/>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20267-E438-4AD7-81EF-C24004D3AA87}">
  <dimension ref="A1:C14"/>
  <sheetViews>
    <sheetView workbookViewId="0">
      <selection activeCell="B5" sqref="B5"/>
    </sheetView>
  </sheetViews>
  <sheetFormatPr defaultRowHeight="15"/>
  <cols>
    <col min="1" max="1" customWidth="true" width="19.85546875" collapsed="true"/>
    <col min="2" max="2" bestFit="true" customWidth="true" width="26.85546875" collapsed="true"/>
    <col min="3" max="3" customWidth="true" width="14.0" collapsed="true"/>
  </cols>
  <sheetData>
    <row r="1" spans="1:3" s="10" customFormat="1" ht="30">
      <c r="A1" s="61" t="s">
        <v>129</v>
      </c>
      <c r="B1" s="61" t="s">
        <v>320</v>
      </c>
      <c r="C1" s="61" t="s">
        <v>1054</v>
      </c>
    </row>
    <row r="2" spans="1:3" s="10" customFormat="1">
      <c r="A2" s="58" t="s">
        <v>121</v>
      </c>
      <c r="B2" s="59" t="s">
        <v>122</v>
      </c>
      <c r="C2" s="60" t="s">
        <v>76</v>
      </c>
    </row>
    <row r="3" spans="1:3" s="10" customFormat="1">
      <c r="A3" s="60"/>
      <c r="B3" s="59" t="s">
        <v>123</v>
      </c>
      <c r="C3" s="60" t="s">
        <v>76</v>
      </c>
    </row>
    <row r="4" spans="1:3" s="10" customFormat="1">
      <c r="A4" s="60"/>
      <c r="B4" s="65" t="s">
        <v>316</v>
      </c>
      <c r="C4" s="60" t="s">
        <v>76</v>
      </c>
    </row>
    <row r="5" spans="1:3" s="10" customFormat="1">
      <c r="A5" s="60"/>
      <c r="B5" s="125" t="s">
        <v>1199</v>
      </c>
      <c r="C5" s="60" t="s">
        <v>76</v>
      </c>
    </row>
    <row r="6" spans="1:3" s="10" customFormat="1">
      <c r="A6" s="60"/>
      <c r="B6" s="66" t="s">
        <v>8</v>
      </c>
      <c r="C6" s="60" t="s">
        <v>76</v>
      </c>
    </row>
    <row r="7" spans="1:3" s="10" customFormat="1">
      <c r="A7" s="60"/>
      <c r="B7" s="66" t="s">
        <v>317</v>
      </c>
      <c r="C7" s="60" t="s">
        <v>76</v>
      </c>
    </row>
    <row r="8" spans="1:3" s="10" customFormat="1">
      <c r="A8" s="60"/>
      <c r="B8" s="66" t="s">
        <v>318</v>
      </c>
      <c r="C8" s="60" t="s">
        <v>76</v>
      </c>
    </row>
    <row r="9" spans="1:3" s="10" customFormat="1">
      <c r="A9" s="60"/>
      <c r="B9" s="65" t="s">
        <v>319</v>
      </c>
      <c r="C9" s="60" t="s">
        <v>76</v>
      </c>
    </row>
    <row r="10" spans="1:3" s="10" customFormat="1">
      <c r="A10" s="60"/>
      <c r="B10" s="1" t="s">
        <v>124</v>
      </c>
      <c r="C10" s="60" t="s">
        <v>76</v>
      </c>
    </row>
    <row r="11" spans="1:3" s="10" customFormat="1">
      <c r="A11" s="60"/>
      <c r="B11" s="1" t="s">
        <v>125</v>
      </c>
      <c r="C11" s="60" t="s">
        <v>76</v>
      </c>
    </row>
    <row r="12" spans="1:3" s="10" customFormat="1">
      <c r="A12" s="60"/>
      <c r="B12" s="1" t="s">
        <v>126</v>
      </c>
      <c r="C12" s="60" t="s">
        <v>76</v>
      </c>
    </row>
    <row r="13" spans="1:3" s="10" customFormat="1">
      <c r="A13" s="60"/>
      <c r="B13" s="1" t="s">
        <v>127</v>
      </c>
      <c r="C13" s="60" t="s">
        <v>76</v>
      </c>
    </row>
    <row r="14" spans="1:3" s="10" customFormat="1">
      <c r="A14" s="60"/>
      <c r="B14" s="1" t="s">
        <v>128</v>
      </c>
      <c r="C14" s="60"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HDR</vt:lpstr>
      <vt:lpstr>Flow Desgin</vt:lpstr>
      <vt:lpstr>Automation_Flow Steps</vt:lpstr>
      <vt:lpstr>Admin_Product_TCs</vt:lpstr>
      <vt:lpstr>User_OrderFlow_TCs</vt:lpstr>
      <vt:lpstr>TestData</vt:lpstr>
      <vt:lpstr>Pricing_Automation_Coverage</vt:lpstr>
    </vt:vector>
  </TitlesOfParts>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2006-09-16T00:00:00Z</dcterms:created>
  <lastModifiedBy>hp</lastModifiedBy>
  <dcterms:modified xsi:type="dcterms:W3CDTF">2025-09-05T04:42:17Z</dcterms:modified>
</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1033-11.2.0.9635</vt:lpwstr>
  </property>
</Properties>
</file>